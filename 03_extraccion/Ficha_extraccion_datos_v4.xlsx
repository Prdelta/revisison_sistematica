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Excluid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rite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9"/>
    </font>
    <font>
      <b val="1"/>
      <color rgb="00FFFFFF"/>
      <sz val="10"/>
    </font>
    <font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14" customWidth="1" min="22" max="22"/>
    <col width="18" customWidth="1" min="23" max="23"/>
    <col width="18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45" customWidth="1" min="46" max="46"/>
  </cols>
  <sheetData>
    <row r="1">
      <c r="A1" s="1" t="inlineStr">
        <is>
          <t>Identificación</t>
        </is>
      </c>
      <c r="B1" s="1" t="inlineStr">
        <is>
          <t>Identificación</t>
        </is>
      </c>
      <c r="C1" s="1" t="inlineStr">
        <is>
          <t>Identificación</t>
        </is>
      </c>
      <c r="D1" s="1" t="inlineStr">
        <is>
          <t>Identificación</t>
        </is>
      </c>
      <c r="E1" s="1" t="inlineStr">
        <is>
          <t>Identificación</t>
        </is>
      </c>
      <c r="F1" s="1" t="inlineStr">
        <is>
          <t>Identificación</t>
        </is>
      </c>
      <c r="G1" s="1" t="inlineStr">
        <is>
          <t>Identificación</t>
        </is>
      </c>
      <c r="H1" s="1" t="inlineStr">
        <is>
          <t>Identificación</t>
        </is>
      </c>
      <c r="I1" s="1" t="inlineStr">
        <is>
          <t>Contexto</t>
        </is>
      </c>
      <c r="J1" s="1" t="inlineStr">
        <is>
          <t>Contexto</t>
        </is>
      </c>
      <c r="K1" s="1" t="inlineStr">
        <is>
          <t>Contexto</t>
        </is>
      </c>
      <c r="L1" s="1" t="inlineStr">
        <is>
          <t>Contexto</t>
        </is>
      </c>
      <c r="M1" s="1" t="inlineStr">
        <is>
          <t>Contexto</t>
        </is>
      </c>
      <c r="N1" s="1" t="inlineStr">
        <is>
          <t>Contexto</t>
        </is>
      </c>
      <c r="O1" s="1" t="inlineStr">
        <is>
          <t>Red</t>
        </is>
      </c>
      <c r="P1" s="1" t="inlineStr">
        <is>
          <t>Red</t>
        </is>
      </c>
      <c r="Q1" s="1" t="inlineStr">
        <is>
          <t>Red</t>
        </is>
      </c>
      <c r="R1" s="1" t="inlineStr">
        <is>
          <t>Datos</t>
        </is>
      </c>
      <c r="S1" s="1" t="inlineStr">
        <is>
          <t>Datos</t>
        </is>
      </c>
      <c r="T1" s="1" t="inlineStr">
        <is>
          <t>Datos</t>
        </is>
      </c>
      <c r="U1" s="1" t="inlineStr">
        <is>
          <t>Datos</t>
        </is>
      </c>
      <c r="V1" s="1" t="inlineStr">
        <is>
          <t>Datos</t>
        </is>
      </c>
      <c r="W1" s="1" t="inlineStr">
        <is>
          <t>Métodos</t>
        </is>
      </c>
      <c r="X1" s="1" t="inlineStr">
        <is>
          <t>Métodos</t>
        </is>
      </c>
      <c r="Y1" s="1" t="inlineStr">
        <is>
          <t>Métodos</t>
        </is>
      </c>
      <c r="Z1" s="1" t="inlineStr">
        <is>
          <t>Métodos</t>
        </is>
      </c>
      <c r="AA1" s="1" t="inlineStr">
        <is>
          <t>Validación</t>
        </is>
      </c>
      <c r="AB1" s="1" t="inlineStr">
        <is>
          <t>Validación</t>
        </is>
      </c>
      <c r="AC1" s="1" t="inlineStr">
        <is>
          <t>Validación</t>
        </is>
      </c>
      <c r="AD1" s="1" t="inlineStr">
        <is>
          <t>Resultados</t>
        </is>
      </c>
      <c r="AE1" s="1" t="inlineStr">
        <is>
          <t>Resultados</t>
        </is>
      </c>
      <c r="AF1" s="1" t="inlineStr">
        <is>
          <t>Resultados</t>
        </is>
      </c>
      <c r="AG1" s="1" t="inlineStr">
        <is>
          <t>Resultados</t>
        </is>
      </c>
      <c r="AH1" s="1" t="inlineStr">
        <is>
          <t>Resultados</t>
        </is>
      </c>
      <c r="AI1" s="1" t="inlineStr">
        <is>
          <t>Resultados</t>
        </is>
      </c>
      <c r="AJ1" s="1" t="inlineStr">
        <is>
          <t>Resultados</t>
        </is>
      </c>
      <c r="AK1" s="1" t="inlineStr">
        <is>
          <t>Resultados</t>
        </is>
      </c>
      <c r="AL1" s="1" t="inlineStr">
        <is>
          <t>Resultados</t>
        </is>
      </c>
      <c r="AM1" s="1" t="inlineStr">
        <is>
          <t>Resultados</t>
        </is>
      </c>
      <c r="AN1" s="1" t="inlineStr">
        <is>
          <t>Resultados</t>
        </is>
      </c>
      <c r="AO1" s="1" t="inlineStr">
        <is>
          <t>Resultados</t>
        </is>
      </c>
      <c r="AP1" s="1" t="inlineStr">
        <is>
          <t>Efecto</t>
        </is>
      </c>
      <c r="AQ1" s="1" t="inlineStr">
        <is>
          <t>Efecto</t>
        </is>
      </c>
      <c r="AR1" s="1" t="inlineStr">
        <is>
          <t>Calidad</t>
        </is>
      </c>
      <c r="AS1" s="1" t="inlineStr">
        <is>
          <t>Calidad</t>
        </is>
      </c>
      <c r="AT1" s="1" t="inlineStr">
        <is>
          <t>Control</t>
        </is>
      </c>
    </row>
    <row r="2" ht="30" customHeight="1">
      <c r="A2" s="2" t="inlineStr">
        <is>
          <t>id_estudio</t>
        </is>
      </c>
      <c r="B2" s="2" t="inlineStr">
        <is>
          <t>id_comparacion</t>
        </is>
      </c>
      <c r="C2" s="2" t="inlineStr">
        <is>
          <t>estado</t>
        </is>
      </c>
      <c r="D2" s="2" t="inlineStr">
        <is>
          <t>titulo</t>
        </is>
      </c>
      <c r="E2" s="2" t="inlineStr">
        <is>
          <t>anio</t>
        </is>
      </c>
      <c r="F2" s="2" t="inlineStr">
        <is>
          <t>referencia_doi</t>
        </is>
      </c>
      <c r="G2" s="2" t="inlineStr">
        <is>
          <t>extractor</t>
        </is>
      </c>
      <c r="H2" s="2" t="inlineStr">
        <is>
          <t>fecha_extraccion</t>
        </is>
      </c>
      <c r="I2" s="2" t="inlineStr">
        <is>
          <t>pais</t>
        </is>
      </c>
      <c r="J2" s="2" t="inlineStr">
        <is>
          <t>area</t>
        </is>
      </c>
      <c r="K2" s="2" t="inlineStr">
        <is>
          <t>estrato_andino</t>
        </is>
      </c>
      <c r="L2" s="2" t="inlineStr">
        <is>
          <t>altitud_min</t>
        </is>
      </c>
      <c r="M2" s="2" t="inlineStr">
        <is>
          <t>altitud_max</t>
        </is>
      </c>
      <c r="N2" s="2" t="inlineStr">
        <is>
          <t>altitud_media</t>
        </is>
      </c>
      <c r="O2" s="2" t="inlineStr">
        <is>
          <t>area_km2</t>
        </is>
      </c>
      <c r="P2" s="2" t="inlineStr">
        <is>
          <t>n_estaciones</t>
        </is>
      </c>
      <c r="Q2" s="2" t="inlineStr">
        <is>
          <t>densidad</t>
        </is>
      </c>
      <c r="R2" s="2" t="inlineStr">
        <is>
          <t>variable</t>
        </is>
      </c>
      <c r="S2" s="2" t="inlineStr">
        <is>
          <t>escala_temporal</t>
        </is>
      </c>
      <c r="T2" s="2" t="inlineStr">
        <is>
          <t>periodo</t>
        </is>
      </c>
      <c r="U2" s="2" t="inlineStr">
        <is>
          <t>covariables</t>
        </is>
      </c>
      <c r="V2" s="2" t="inlineStr">
        <is>
          <t>producto_satelital</t>
        </is>
      </c>
      <c r="W2" s="2" t="inlineStr">
        <is>
          <t>metodo_geo</t>
        </is>
      </c>
      <c r="X2" s="2" t="inlineStr">
        <is>
          <t>metodo_aa</t>
        </is>
      </c>
      <c r="Y2" s="2" t="inlineStr">
        <is>
          <t>hibrido</t>
        </is>
      </c>
      <c r="Z2" s="2" t="inlineStr">
        <is>
          <t>covariables_equivalentes</t>
        </is>
      </c>
      <c r="AA2" s="2" t="inlineStr">
        <is>
          <t>esquema_validacion</t>
        </is>
      </c>
      <c r="AB2" s="2" t="inlineStr">
        <is>
          <t>k_o_n_bloques</t>
        </is>
      </c>
      <c r="AC2" s="2" t="inlineStr">
        <is>
          <t>n_validacion</t>
        </is>
      </c>
      <c r="AD2" s="2" t="inlineStr">
        <is>
          <t>rmse_geo</t>
        </is>
      </c>
      <c r="AE2" s="2" t="inlineStr">
        <is>
          <t>rmse_aa</t>
        </is>
      </c>
      <c r="AF2" s="2" t="inlineStr">
        <is>
          <t>unidad</t>
        </is>
      </c>
      <c r="AG2" s="2" t="inlineStr">
        <is>
          <t>mae_geo</t>
        </is>
      </c>
      <c r="AH2" s="2" t="inlineStr">
        <is>
          <t>mae_aa</t>
        </is>
      </c>
      <c r="AI2" s="2" t="inlineStr">
        <is>
          <t>r2_geo</t>
        </is>
      </c>
      <c r="AJ2" s="2" t="inlineStr">
        <is>
          <t>r2_aa</t>
        </is>
      </c>
      <c r="AK2" s="2" t="inlineStr">
        <is>
          <t>kge_geo</t>
        </is>
      </c>
      <c r="AL2" s="2" t="inlineStr">
        <is>
          <t>kge_aa</t>
        </is>
      </c>
      <c r="AM2" s="2" t="inlineStr">
        <is>
          <t>sesgo_pct_geo</t>
        </is>
      </c>
      <c r="AN2" s="2" t="inlineStr">
        <is>
          <t>sesgo_pct_aa</t>
        </is>
      </c>
      <c r="AO2" s="2" t="inlineStr">
        <is>
          <t>cobertura_ic</t>
        </is>
      </c>
      <c r="AP2" s="2" t="inlineStr">
        <is>
          <t>ln_ratio</t>
        </is>
      </c>
      <c r="AQ2" s="2" t="inlineStr">
        <is>
          <t>var_ln_ratio</t>
        </is>
      </c>
      <c r="AR2" s="2" t="inlineStr">
        <is>
          <t>riesgo_fuga</t>
        </is>
      </c>
      <c r="AS2" s="2" t="inlineStr">
        <is>
          <t>reporte_incompleto</t>
        </is>
      </c>
      <c r="AT2" s="2" t="inlineStr">
        <is>
          <t>observaciones</t>
        </is>
      </c>
    </row>
    <row r="3">
      <c r="A3" s="3" t="inlineStr">
        <is>
          <t>sekulic2020</t>
        </is>
      </c>
      <c r="B3" s="3" t="inlineStr">
        <is>
          <t>sekulic2020_a</t>
        </is>
      </c>
      <c r="C3" s="3" t="inlineStr">
        <is>
          <t>Incluido</t>
        </is>
      </c>
      <c r="D3" s="3" t="inlineStr">
        <is>
          <t>Random Forest Spatial Interpolation</t>
        </is>
      </c>
      <c r="E3" s="3" t="n">
        <v>2020</v>
      </c>
      <c r="F3" s="3" t="inlineStr">
        <is>
          <t>https://doi.org/10.3390/rs12101687</t>
        </is>
      </c>
      <c r="G3" s="3" t="inlineStr">
        <is>
          <t>KXCZ</t>
        </is>
      </c>
      <c r="H3" s="3" t="inlineStr">
        <is>
          <t>15/10/2026</t>
        </is>
      </c>
      <c r="I3" s="3" t="inlineStr">
        <is>
          <t>España</t>
        </is>
      </c>
      <c r="J3" s="3" t="inlineStr">
        <is>
          <t>Cataluña (Pirineos), ≈32 108 km²</t>
        </is>
      </c>
      <c r="K3" s="3" t="n">
        <v>0</v>
      </c>
      <c r="L3" s="3" t="n"/>
      <c r="M3" s="3" t="n"/>
      <c r="N3" s="3" t="n"/>
      <c r="O3" s="3" t="n">
        <v>32108</v>
      </c>
      <c r="P3" s="3" t="n">
        <v>87</v>
      </c>
      <c r="Q3" s="3">
        <f>IF(AND(ISNUMBER(P3),ISNUMBER(O3)),P3/O3*1000,"")</f>
        <v/>
      </c>
      <c r="R3" s="3" t="inlineStr">
        <is>
          <t>precipitación</t>
        </is>
      </c>
      <c r="S3" s="3" t="inlineStr">
        <is>
          <t>diaria</t>
        </is>
      </c>
      <c r="T3" s="3" t="inlineStr">
        <is>
          <t>2016–2018</t>
        </is>
      </c>
      <c r="U3" s="3" t="inlineStr">
        <is>
          <t>IMERG y otras dos covariables ambientales</t>
        </is>
      </c>
      <c r="V3" s="3" t="inlineStr">
        <is>
          <t>IMERG (late run V06A)</t>
        </is>
      </c>
      <c r="W3" s="3" t="inlineStr">
        <is>
          <t>STRK</t>
        </is>
      </c>
      <c r="X3" s="3" t="inlineStr">
        <is>
          <t>RFSI</t>
        </is>
      </c>
      <c r="Y3" s="3" t="n">
        <v>0</v>
      </c>
      <c r="Z3" s="3" t="n">
        <v>1</v>
      </c>
      <c r="AA3" s="3" t="inlineStr">
        <is>
          <t>bloques espaciales</t>
        </is>
      </c>
      <c r="AB3" s="3" t="n">
        <v>5</v>
      </c>
      <c r="AC3" s="3" t="n">
        <v>87</v>
      </c>
      <c r="AD3" s="3" t="n">
        <v>3.9</v>
      </c>
      <c r="AE3" s="3" t="n">
        <v>3.8</v>
      </c>
      <c r="AF3" s="3" t="inlineStr">
        <is>
          <t>mm</t>
        </is>
      </c>
      <c r="AG3" s="3" t="n">
        <v>1.2</v>
      </c>
      <c r="AH3" s="3" t="n">
        <v>1.1</v>
      </c>
      <c r="AI3" s="3" t="n"/>
      <c r="AJ3" s="3" t="n"/>
      <c r="AK3" s="3" t="n"/>
      <c r="AL3" s="3" t="n"/>
      <c r="AM3" s="3" t="n"/>
      <c r="AN3" s="3" t="n"/>
      <c r="AO3" s="3" t="n"/>
      <c r="AP3" s="3">
        <f>IF(AND(ISNUMBER(AD3),ISNUMBER(AE3)),LN(AD3/AE3),"")</f>
        <v/>
      </c>
      <c r="AQ3" s="3">
        <f>IF(ISNUMBER(AC3),(1-0.5)/AC3,"")</f>
        <v/>
      </c>
      <c r="AR3" s="3" t="inlineStr">
        <is>
          <t>Bajo</t>
        </is>
      </c>
      <c r="AS3" s="3" t="n"/>
      <c r="AT3" s="3" t="inlineStr">
        <is>
          <t>Análisis principal. Tabla 4</t>
        </is>
      </c>
    </row>
    <row r="4">
      <c r="A4" s="3" t="inlineStr">
        <is>
          <t>chen2021</t>
        </is>
      </c>
      <c r="B4" s="3" t="inlineStr">
        <is>
          <t>chen2021_a</t>
        </is>
      </c>
      <c r="C4" s="3" t="inlineStr">
        <is>
          <t>Incluido</t>
        </is>
      </c>
      <c r="D4" s="3" t="inlineStr">
        <is>
          <t>Easy-to-use spatial random-forest-based downscaling-calibration method for producing precipitation data with high resolution and high accuracy</t>
        </is>
      </c>
      <c r="E4" s="3" t="n">
        <v>2021</v>
      </c>
      <c r="F4" s="3" t="inlineStr">
        <is>
          <t>https://doi.org/10.5194/hess-25-5667-2021</t>
        </is>
      </c>
      <c r="G4" s="3" t="inlineStr">
        <is>
          <t>KXCZ</t>
        </is>
      </c>
      <c r="H4" s="3" t="inlineStr">
        <is>
          <t>15/10/2026</t>
        </is>
      </c>
      <c r="I4" s="3" t="inlineStr">
        <is>
          <t>China</t>
        </is>
      </c>
      <c r="J4" s="3" t="inlineStr">
        <is>
          <t>Sichuan, provincia completa (180–7100 m)</t>
        </is>
      </c>
      <c r="K4" s="3" t="n">
        <v>0</v>
      </c>
      <c r="L4" s="3" t="n">
        <v>180</v>
      </c>
      <c r="M4" s="3" t="n">
        <v>7100</v>
      </c>
      <c r="N4" s="3" t="n"/>
      <c r="O4" s="3" t="n">
        <v>486000</v>
      </c>
      <c r="P4" s="3" t="n">
        <v>156</v>
      </c>
      <c r="Q4" s="3">
        <f>IF(AND(ISNUMBER(P4),ISNUMBER(O4)),P4/O4*1000,"")</f>
        <v/>
      </c>
      <c r="R4" s="3" t="inlineStr">
        <is>
          <t>precipitación</t>
        </is>
      </c>
      <c r="S4" s="3" t="inlineStr">
        <is>
          <t>mensual</t>
        </is>
      </c>
      <c r="T4" s="3" t="inlineStr">
        <is>
          <t>2015–2019</t>
        </is>
      </c>
      <c r="U4" s="3" t="inlineStr">
        <is>
          <t>latitud, longitud, elevación, NDVI, pendiente, orientación, LST</t>
        </is>
      </c>
      <c r="V4" s="3" t="inlineStr">
        <is>
          <t>IMERG</t>
        </is>
      </c>
      <c r="W4" s="3" t="inlineStr">
        <is>
          <t>KO</t>
        </is>
      </c>
      <c r="X4" s="3" t="inlineStr">
        <is>
          <t>RF</t>
        </is>
      </c>
      <c r="Y4" s="3" t="n">
        <v>0</v>
      </c>
      <c r="Z4" s="3" t="n">
        <v>0</v>
      </c>
      <c r="AA4" s="3" t="inlineStr">
        <is>
          <t>k-fold aleatoria</t>
        </is>
      </c>
      <c r="AB4" s="3" t="n">
        <v>10</v>
      </c>
      <c r="AC4" s="3" t="n">
        <v>156</v>
      </c>
      <c r="AD4" s="3" t="n">
        <v>35.98</v>
      </c>
      <c r="AE4" s="3" t="n">
        <v>35.93</v>
      </c>
      <c r="AF4" s="3" t="inlineStr">
        <is>
          <t>mm</t>
        </is>
      </c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>
        <f>IF(AND(ISNUMBER(AD4),ISNUMBER(AE4)),LN(AD4/AE4),"")</f>
        <v/>
      </c>
      <c r="AQ4" s="3">
        <f>IF(ISNUMBER(AC4),(1-0.5)/AC4,"")</f>
        <v/>
      </c>
      <c r="AR4" s="3" t="inlineStr">
        <is>
          <t>Dudoso</t>
        </is>
      </c>
      <c r="AS4" s="3" t="n"/>
      <c r="AT4" s="3" t="inlineStr">
        <is>
          <t>Análisis principal. Fig. 5 (RMSE global): KO 35,98; RF 35,93. SRF-DC (32,20) usa la interpolación KO de los pluviómetros como covariable: híbrido (CE4), se excluye del par (revisión de Kriz).</t>
        </is>
      </c>
    </row>
    <row r="5">
      <c r="A5" s="3" t="inlineStr">
        <is>
          <t>ghorbanpour2021</t>
        </is>
      </c>
      <c r="B5" s="3" t="inlineStr">
        <is>
          <t>ghorbanpour2021_a</t>
        </is>
      </c>
      <c r="C5" s="3" t="inlineStr">
        <is>
          <t>Incluido</t>
        </is>
      </c>
      <c r="D5" s="3" t="inlineStr">
        <is>
          <t>Comparison and assessment of spatial downscaling methods for enhancing the accuracy of satellite-based precipitation over Lake Urmia Basin</t>
        </is>
      </c>
      <c r="E5" s="3" t="n">
        <v>2021</v>
      </c>
      <c r="F5" s="3" t="inlineStr">
        <is>
          <t>https://doi.org/10.1016/j.jhydrol.2021.126055</t>
        </is>
      </c>
      <c r="G5" s="3" t="inlineStr">
        <is>
          <t>KXCZ</t>
        </is>
      </c>
      <c r="H5" s="3" t="inlineStr">
        <is>
          <t>15/10/2026</t>
        </is>
      </c>
      <c r="I5" s="3" t="inlineStr">
        <is>
          <t>Irán</t>
        </is>
      </c>
      <c r="J5" s="3" t="inlineStr">
        <is>
          <t>Cuenca del lago Urmia (Azerbaiyán Occ., Azerbaiyán Or. y Kurdistán), montañosa</t>
        </is>
      </c>
      <c r="K5" s="3" t="n">
        <v>0</v>
      </c>
      <c r="L5" s="3" t="n">
        <v>1250</v>
      </c>
      <c r="M5" s="3" t="n">
        <v>3650</v>
      </c>
      <c r="N5" s="3" t="n"/>
      <c r="O5" s="3" t="n"/>
      <c r="P5" s="3" t="n">
        <v>21</v>
      </c>
      <c r="Q5" s="3">
        <f>IF(AND(ISNUMBER(P5),ISNUMBER(O5)),P5/O5*1000,"")</f>
        <v/>
      </c>
      <c r="R5" s="3" t="inlineStr">
        <is>
          <t>precipitación</t>
        </is>
      </c>
      <c r="S5" s="3" t="inlineStr">
        <is>
          <t>mensual</t>
        </is>
      </c>
      <c r="T5" s="3" t="n"/>
      <c r="U5" s="3" t="inlineStr">
        <is>
          <t>NDVI, LST, MDE</t>
        </is>
      </c>
      <c r="V5" s="3" t="inlineStr">
        <is>
          <t>TRMM</t>
        </is>
      </c>
      <c r="W5" s="3" t="inlineStr">
        <is>
          <t>GWR</t>
        </is>
      </c>
      <c r="X5" s="3" t="inlineStr">
        <is>
          <t>SVM</t>
        </is>
      </c>
      <c r="Y5" s="3" t="n">
        <v>0</v>
      </c>
      <c r="Z5" s="3" t="n">
        <v>1</v>
      </c>
      <c r="AA5" s="3" t="inlineStr">
        <is>
          <t>estaciones independientes</t>
        </is>
      </c>
      <c r="AB5" s="3" t="n"/>
      <c r="AC5" s="3" t="n">
        <v>10</v>
      </c>
      <c r="AD5" s="3" t="n">
        <v>210.13</v>
      </c>
      <c r="AE5" s="3" t="n">
        <v>150.88</v>
      </c>
      <c r="AF5" s="3" t="inlineStr">
        <is>
          <t>mm</t>
        </is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>
        <f>IF(AND(ISNUMBER(AD5),ISNUMBER(AE5)),LN(AD5/AE5),"")</f>
        <v/>
      </c>
      <c r="AQ5" s="3">
        <f>IF(ISNUMBER(AC5),(1-0.5)/AC5,"")</f>
        <v/>
      </c>
      <c r="AR5" s="3" t="inlineStr">
        <is>
          <t>Dudoso</t>
        </is>
      </c>
      <c r="AS5" s="3" t="n"/>
      <c r="AT5" s="3" t="inlineStr">
        <is>
          <t>Análisis principal. Tabla 3 (2009-2013); solo 10 estaciones de validación</t>
        </is>
      </c>
    </row>
    <row r="6">
      <c r="A6" s="3" t="inlineStr">
        <is>
          <t>orellanasamaniego2021</t>
        </is>
      </c>
      <c r="B6" s="3" t="inlineStr">
        <is>
          <t>orellanasamaniego2021_a</t>
        </is>
      </c>
      <c r="C6" s="3" t="inlineStr">
        <is>
          <t>Incluido</t>
        </is>
      </c>
      <c r="D6" s="3" t="inlineStr">
        <is>
          <t>Estimating monthly air temperature using remote sensing on a region with highly variable topography and scarce monitoring in the southern Ecuadorian Andes</t>
        </is>
      </c>
      <c r="E6" s="3" t="n">
        <v>2021</v>
      </c>
      <c r="F6" s="3" t="inlineStr">
        <is>
          <t>https://doi.org/10.1007/s00704-021-03583-3</t>
        </is>
      </c>
      <c r="G6" s="3" t="inlineStr">
        <is>
          <t>KXCZ</t>
        </is>
      </c>
      <c r="H6" s="3" t="inlineStr">
        <is>
          <t>15/10/2026</t>
        </is>
      </c>
      <c r="I6" s="3" t="inlineStr">
        <is>
          <t>Ecuador</t>
        </is>
      </c>
      <c r="J6" s="3" t="inlineStr">
        <is>
          <t>Azuay y Cañar, cuenca del río Paute (Andes del sur)</t>
        </is>
      </c>
      <c r="K6" s="3" t="n">
        <v>1</v>
      </c>
      <c r="L6" s="3" t="n">
        <v>485</v>
      </c>
      <c r="M6" s="3" t="n">
        <v>3750</v>
      </c>
      <c r="N6" s="3" t="n"/>
      <c r="O6" s="3" t="n">
        <v>5000</v>
      </c>
      <c r="P6" s="3" t="n">
        <v>28</v>
      </c>
      <c r="Q6" s="3">
        <f>IF(AND(ISNUMBER(P6),ISNUMBER(O6)),P6/O6*1000,"")</f>
        <v/>
      </c>
      <c r="R6" s="3" t="inlineStr">
        <is>
          <t>temperatura</t>
        </is>
      </c>
      <c r="S6" s="3" t="inlineStr">
        <is>
          <t>mensual</t>
        </is>
      </c>
      <c r="T6" s="3" t="inlineStr">
        <is>
          <t>2014–2017</t>
        </is>
      </c>
      <c r="U6" s="3" t="inlineStr">
        <is>
          <t>altitud, LST, latitud, longitud</t>
        </is>
      </c>
      <c r="V6" s="3" t="inlineStr">
        <is>
          <t>MODIS (LST)</t>
        </is>
      </c>
      <c r="W6" s="3" t="inlineStr">
        <is>
          <t>RK (LR+OK)</t>
        </is>
      </c>
      <c r="X6" s="3" t="inlineStr">
        <is>
          <t>RF</t>
        </is>
      </c>
      <c r="Y6" s="3" t="n">
        <v>0</v>
      </c>
      <c r="Z6" s="3" t="n">
        <v>1</v>
      </c>
      <c r="AA6" s="3" t="inlineStr">
        <is>
          <t>leave-one-out</t>
        </is>
      </c>
      <c r="AB6" s="3" t="n"/>
      <c r="AC6" s="3" t="n">
        <v>28</v>
      </c>
      <c r="AD6" s="3" t="n"/>
      <c r="AE6" s="3" t="n"/>
      <c r="AF6" s="3" t="inlineStr">
        <is>
          <t>°C</t>
        </is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>
        <v>0.104</v>
      </c>
      <c r="AQ6" s="3">
        <f>IF(ISNUMBER(AC6),(1-0.5)/AC6,"")</f>
        <v/>
      </c>
      <c r="AR6" s="3" t="inlineStr">
        <is>
          <t>Alto</t>
        </is>
      </c>
      <c r="AS6" s="3" t="n"/>
      <c r="AT6" s="3" t="inlineStr">
        <is>
          <t>Análisis principal. Media de ln mensuales en los 23 meses con RK (tesis UNAL 2020, anexos E y O); medianas RK 1,32 y RF 1,21 °C. Selección de variables con todos los datos del mes (revisión de Kriz).</t>
        </is>
      </c>
    </row>
    <row r="7">
      <c r="A7" s="3" t="inlineStr">
        <is>
          <t>zhang2022</t>
        </is>
      </c>
      <c r="B7" s="3" t="inlineStr">
        <is>
          <t>zhang2022_a</t>
        </is>
      </c>
      <c r="C7" s="3" t="inlineStr">
        <is>
          <t>Incluido</t>
        </is>
      </c>
      <c r="D7" s="3" t="inlineStr">
        <is>
          <t>Multi-Source Precipitation Data Merging for Heavy Rainfall Events Based on Cokriging and Machine Learning Methods</t>
        </is>
      </c>
      <c r="E7" s="3" t="n">
        <v>2022</v>
      </c>
      <c r="F7" s="3" t="inlineStr">
        <is>
          <t>https://doi.org/10.3390/rs14071750</t>
        </is>
      </c>
      <c r="G7" s="3" t="inlineStr">
        <is>
          <t>Consolidación</t>
        </is>
      </c>
      <c r="H7" s="3" t="inlineStr">
        <is>
          <t>15/10/2026</t>
        </is>
      </c>
      <c r="I7" s="3" t="inlineStr">
        <is>
          <t>China</t>
        </is>
      </c>
      <c r="J7" s="3" t="inlineStr">
        <is>
          <t>Norte de Guangdong (desnivel 1421 m)</t>
        </is>
      </c>
      <c r="K7" s="3" t="n">
        <v>0</v>
      </c>
      <c r="L7" s="3" t="n"/>
      <c r="M7" s="3" t="n"/>
      <c r="N7" s="3" t="n"/>
      <c r="O7" s="3" t="n"/>
      <c r="P7" s="3" t="n">
        <v>250</v>
      </c>
      <c r="Q7" s="3">
        <f>IF(AND(ISNUMBER(P7),ISNUMBER(O7)),P7/O7*1000,"")</f>
        <v/>
      </c>
      <c r="R7" s="3" t="inlineStr">
        <is>
          <t>precipitación</t>
        </is>
      </c>
      <c r="S7" s="3" t="inlineStr">
        <is>
          <t>horaria (4 eventos)</t>
        </is>
      </c>
      <c r="T7" s="3" t="n"/>
      <c r="U7" s="3" t="n"/>
      <c r="V7" s="3" t="inlineStr">
        <is>
          <t>radar; satélite</t>
        </is>
      </c>
      <c r="W7" s="3" t="inlineStr">
        <is>
          <t>CoK</t>
        </is>
      </c>
      <c r="X7" s="3" t="inlineStr">
        <is>
          <t>XGBoost (con kriging de residuos)</t>
        </is>
      </c>
      <c r="Y7" s="3" t="n">
        <v>1</v>
      </c>
      <c r="Z7" s="3" t="n">
        <v>0</v>
      </c>
      <c r="AA7" s="3" t="inlineStr">
        <is>
          <t>estaciones independientes</t>
        </is>
      </c>
      <c r="AB7" s="3" t="n"/>
      <c r="AC7" s="3" t="n">
        <v>50</v>
      </c>
      <c r="AD7" s="3" t="n"/>
      <c r="AE7" s="3" t="n"/>
      <c r="AF7" s="3" t="inlineStr">
        <is>
          <t>mm</t>
        </is>
      </c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>
        <v>-0.0796</v>
      </c>
      <c r="AQ7" s="3">
        <f>IF(ISNUMBER(AC7),(1-0.5)/AC7,"")</f>
        <v/>
      </c>
      <c r="AR7" s="3" t="inlineStr">
        <is>
          <t>Dudoso</t>
        </is>
      </c>
      <c r="AS7" s="3" t="n"/>
      <c r="AT7" s="3" t="inlineStr">
        <is>
          <t>Solo análisis de sensibilidad (AA híbrido). Par fijo CoK frente a XGBoost (menor RMSE medio en los 4 eventos, Figs. 3-6): CoK 1,042/1,627/1,915/2,643; XGBoost 1,106/1,858/2,115/2,714; media de 4 ln.</t>
        </is>
      </c>
    </row>
    <row r="8">
      <c r="A8" s="3" t="inlineStr">
        <is>
          <t>lu2023</t>
        </is>
      </c>
      <c r="B8" s="3" t="inlineStr">
        <is>
          <t>lu2023_a</t>
        </is>
      </c>
      <c r="C8" s="3" t="inlineStr">
        <is>
          <t>Incluido</t>
        </is>
      </c>
      <c r="D8" s="3" t="inlineStr">
        <is>
          <t>Quantitative Precipitation Estimation in the Tianshan Mountains Based on Machine Learning</t>
        </is>
      </c>
      <c r="E8" s="3" t="n">
        <v>2023</v>
      </c>
      <c r="F8" s="3" t="inlineStr">
        <is>
          <t>https://doi.org/10.3390/rs15163962</t>
        </is>
      </c>
      <c r="G8" s="3" t="inlineStr">
        <is>
          <t>YDLL</t>
        </is>
      </c>
      <c r="H8" s="3" t="inlineStr">
        <is>
          <t>15/10/2026</t>
        </is>
      </c>
      <c r="I8" s="3" t="inlineStr">
        <is>
          <t>China</t>
        </is>
      </c>
      <c r="J8" s="3" t="inlineStr">
        <is>
          <t>Xinjiang, montañas Tianshan (−152 a 3616 m)</t>
        </is>
      </c>
      <c r="K8" s="3" t="n">
        <v>0</v>
      </c>
      <c r="L8" s="3" t="n">
        <v>-152</v>
      </c>
      <c r="M8" s="3" t="n">
        <v>3616</v>
      </c>
      <c r="N8" s="3" t="n"/>
      <c r="O8" s="3" t="n"/>
      <c r="P8" s="3" t="n">
        <v>1067</v>
      </c>
      <c r="Q8" s="3">
        <f>IF(AND(ISNUMBER(P8),ISNUMBER(O8)),P8/O8*1000,"")</f>
        <v/>
      </c>
      <c r="R8" s="3" t="inlineStr">
        <is>
          <t>precipitación</t>
        </is>
      </c>
      <c r="S8" s="3" t="inlineStr">
        <is>
          <t>mensual</t>
        </is>
      </c>
      <c r="T8" s="3" t="inlineStr">
        <is>
          <t>2014–2017 (mayo–septiembre)</t>
        </is>
      </c>
      <c r="U8" s="3" t="inlineStr">
        <is>
          <t>IMERG, NDVI, elevación, pendiente, orientación, curvatura, TWI, sombreado</t>
        </is>
      </c>
      <c r="V8" s="3" t="inlineStr">
        <is>
          <t>IMERG</t>
        </is>
      </c>
      <c r="W8" s="3" t="inlineStr">
        <is>
          <t>GWR</t>
        </is>
      </c>
      <c r="X8" s="3" t="inlineStr">
        <is>
          <t>RF</t>
        </is>
      </c>
      <c r="Y8" s="3" t="n">
        <v>0</v>
      </c>
      <c r="Z8" s="3" t="n">
        <v>1</v>
      </c>
      <c r="AA8" s="3" t="inlineStr">
        <is>
          <t>estaciones independientes</t>
        </is>
      </c>
      <c r="AB8" s="3" t="n"/>
      <c r="AC8" s="3" t="n">
        <v>96</v>
      </c>
      <c r="AD8" s="3" t="n">
        <v>20.94</v>
      </c>
      <c r="AE8" s="3" t="n">
        <v>19.81</v>
      </c>
      <c r="AF8" s="3" t="inlineStr">
        <is>
          <t>mm/mes</t>
        </is>
      </c>
      <c r="AG8" s="3" t="n">
        <v>13.8</v>
      </c>
      <c r="AH8" s="3" t="n">
        <v>12.83</v>
      </c>
      <c r="AI8" s="3" t="n"/>
      <c r="AJ8" s="3" t="n"/>
      <c r="AK8" s="3" t="n"/>
      <c r="AL8" s="3" t="n"/>
      <c r="AM8" s="3" t="n"/>
      <c r="AN8" s="3" t="n"/>
      <c r="AO8" s="3" t="n"/>
      <c r="AP8" s="3">
        <f>IF(AND(ISNUMBER(AD8),ISNUMBER(AE8)),LN(AD8/AE8),"")</f>
        <v/>
      </c>
      <c r="AQ8" s="3">
        <f>IF(ISNUMBER(AC8),(1-0.5)/AC8,"")</f>
        <v/>
      </c>
      <c r="AR8" s="3" t="inlineStr">
        <is>
          <t>Dudoso</t>
        </is>
      </c>
      <c r="AS8" s="3" t="n"/>
      <c r="AT8" s="3" t="inlineStr">
        <is>
          <t>Análisis principal. Tabla 1. n de validación declarado 96, pero el texto también cita 959 y 1067: varianza provisional (revisión de Laura).</t>
        </is>
      </c>
    </row>
    <row r="9">
      <c r="A9" s="3" t="inlineStr">
        <is>
          <t>zhu2023</t>
        </is>
      </c>
      <c r="B9" s="3" t="inlineStr">
        <is>
          <t>zhu2023_a</t>
        </is>
      </c>
      <c r="C9" s="3" t="inlineStr">
        <is>
          <t>Incluido</t>
        </is>
      </c>
      <c r="D9" s="3" t="inlineStr">
        <is>
          <t>(ver matriz; título por completar)</t>
        </is>
      </c>
      <c r="E9" s="3" t="n">
        <v>2023</v>
      </c>
      <c r="F9" s="3" t="inlineStr">
        <is>
          <t>https://doi.org/10.3390/rs15102640</t>
        </is>
      </c>
      <c r="G9" s="3" t="inlineStr">
        <is>
          <t>YDLL</t>
        </is>
      </c>
      <c r="H9" s="3" t="inlineStr">
        <is>
          <t>15/10/2026</t>
        </is>
      </c>
      <c r="I9" s="3" t="inlineStr">
        <is>
          <t>China</t>
        </is>
      </c>
      <c r="J9" s="3" t="inlineStr">
        <is>
          <t>Guangdong, provincia completa (0–1888 m)</t>
        </is>
      </c>
      <c r="K9" s="3" t="n">
        <v>0</v>
      </c>
      <c r="L9" s="3" t="n">
        <v>0</v>
      </c>
      <c r="M9" s="3" t="n">
        <v>1888</v>
      </c>
      <c r="N9" s="3" t="n"/>
      <c r="O9" s="3" t="n">
        <v>179800</v>
      </c>
      <c r="P9" s="3" t="n">
        <v>86</v>
      </c>
      <c r="Q9" s="3">
        <f>IF(AND(ISNUMBER(P9),ISNUMBER(O9)),P9/O9*1000,"")</f>
        <v/>
      </c>
      <c r="R9" s="3" t="inlineStr">
        <is>
          <t>precipitación</t>
        </is>
      </c>
      <c r="S9" s="3" t="inlineStr">
        <is>
          <t>anual</t>
        </is>
      </c>
      <c r="T9" s="3" t="inlineStr">
        <is>
          <t>2006–2010</t>
        </is>
      </c>
      <c r="U9" s="3" t="n"/>
      <c r="V9" s="3" t="n"/>
      <c r="W9" s="3" t="inlineStr">
        <is>
          <t>GWR</t>
        </is>
      </c>
      <c r="X9" s="3" t="inlineStr">
        <is>
          <t>GB (XGBoost)</t>
        </is>
      </c>
      <c r="Y9" s="3" t="n">
        <v>0</v>
      </c>
      <c r="Z9" s="3" t="n">
        <v>1</v>
      </c>
      <c r="AA9" s="3" t="inlineStr">
        <is>
          <t>estaciones independientes</t>
        </is>
      </c>
      <c r="AB9" s="3" t="n">
        <v>5</v>
      </c>
      <c r="AC9" s="3" t="n">
        <v>86</v>
      </c>
      <c r="AD9" s="3" t="n"/>
      <c r="AE9" s="3" t="n"/>
      <c r="AF9" s="3" t="inlineStr">
        <is>
          <t>mm</t>
        </is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>
        <v>0.179919</v>
      </c>
      <c r="AQ9" s="3">
        <f>IF(ISNUMBER(AC9),(1-0.5)/AC9,"")</f>
        <v/>
      </c>
      <c r="AR9" s="3" t="inlineStr">
        <is>
          <t>Dudoso</t>
        </is>
      </c>
      <c r="AS9" s="3" t="n"/>
      <c r="AT9" s="3" t="inlineStr">
        <is>
          <t>Análisis principal. Par fijo GWR frente a XGBoost (menor RMSE medio aritmético), media de 5 ln anuales (Tabla 3). Alternativa SRF: 0,188171 (revisión de Laura).</t>
        </is>
      </c>
    </row>
    <row r="10">
      <c r="A10" s="3" t="inlineStr">
        <is>
          <t>achite2024</t>
        </is>
      </c>
      <c r="B10" s="3" t="inlineStr">
        <is>
          <t>achite2024_a</t>
        </is>
      </c>
      <c r="C10" s="3" t="inlineStr">
        <is>
          <t>Incluido</t>
        </is>
      </c>
      <c r="D10" s="3" t="inlineStr">
        <is>
          <t>(ver matriz; título por completar)</t>
        </is>
      </c>
      <c r="E10" s="3" t="n">
        <v>2024</v>
      </c>
      <c r="F10" s="3" t="inlineStr">
        <is>
          <t>https://doi.org/10.1016/j.asej.2023.102578</t>
        </is>
      </c>
      <c r="G10" s="3" t="inlineStr">
        <is>
          <t>YDLL</t>
        </is>
      </c>
      <c r="H10" s="3" t="inlineStr">
        <is>
          <t>15/10/2026</t>
        </is>
      </c>
      <c r="I10" s="3" t="inlineStr">
        <is>
          <t>Argelia</t>
        </is>
      </c>
      <c r="J10" s="3" t="inlineStr">
        <is>
          <t>Cuenca del Cheliff (varias wilayas), norte montañoso</t>
        </is>
      </c>
      <c r="K10" s="3" t="n">
        <v>0</v>
      </c>
      <c r="L10" s="3" t="n">
        <v>0</v>
      </c>
      <c r="M10" s="3" t="n">
        <v>1969</v>
      </c>
      <c r="N10" s="3" t="n"/>
      <c r="O10" s="3" t="n"/>
      <c r="P10" s="3" t="n">
        <v>150</v>
      </c>
      <c r="Q10" s="3">
        <f>IF(AND(ISNUMBER(P10),ISNUMBER(O10)),P10/O10*1000,"")</f>
        <v/>
      </c>
      <c r="R10" s="3" t="inlineStr">
        <is>
          <t>precipitación</t>
        </is>
      </c>
      <c r="S10" s="3" t="inlineStr">
        <is>
          <t>anual</t>
        </is>
      </c>
      <c r="T10" s="3" t="inlineStr">
        <is>
          <t>≈50 años (media anual)</t>
        </is>
      </c>
      <c r="U10" s="3" t="n"/>
      <c r="V10" s="3" t="n"/>
      <c r="W10" s="3" t="inlineStr">
        <is>
          <t>KED</t>
        </is>
      </c>
      <c r="X10" s="3" t="inlineStr">
        <is>
          <t>RF</t>
        </is>
      </c>
      <c r="Y10" s="3" t="n">
        <v>0</v>
      </c>
      <c r="Z10" s="3" t="n">
        <v>1</v>
      </c>
      <c r="AA10" s="3" t="inlineStr">
        <is>
          <t>estaciones independientes</t>
        </is>
      </c>
      <c r="AB10" s="3" t="n"/>
      <c r="AC10" s="3" t="n">
        <v>50</v>
      </c>
      <c r="AD10" s="3" t="n">
        <v>43.48</v>
      </c>
      <c r="AE10" s="3" t="n">
        <v>33.94</v>
      </c>
      <c r="AF10" s="3" t="inlineStr">
        <is>
          <t>mm</t>
        </is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>
        <f>IF(AND(ISNUMBER(AD10),ISNUMBER(AE10)),LN(AD10/AE10),"")</f>
        <v/>
      </c>
      <c r="AQ10" s="3">
        <f>IF(ISNUMBER(AC10),(1-0.5)/AC10,"")</f>
        <v/>
      </c>
      <c r="AR10" s="3" t="inlineStr">
        <is>
          <t>Dudoso</t>
        </is>
      </c>
      <c r="AS10" s="3" t="n"/>
      <c r="AT10" s="3" t="inlineStr">
        <is>
          <t>Análisis principal. Tabla 1 (prueba, 50 estaciones). Pendiente confirmar que el ajuste geoestadístico excluyó las 50 estaciones (p. 19; revisión de Laura).</t>
        </is>
      </c>
    </row>
    <row r="11">
      <c r="A11" s="3" t="inlineStr">
        <is>
          <t>dura2024</t>
        </is>
      </c>
      <c r="B11" s="3" t="inlineStr">
        <is>
          <t>dura2024_a</t>
        </is>
      </c>
      <c r="C11" s="3" t="inlineStr">
        <is>
          <t>Incluido</t>
        </is>
      </c>
      <c r="D11" s="3" t="inlineStr">
        <is>
          <t>Spatial Interpolation of Seasonal Precipitations Using Rain Gauge Data and Convection-Permitting Regional Climate Model Simulations in a Complex Topographical Region</t>
        </is>
      </c>
      <c r="E11" s="3" t="n">
        <v>2024</v>
      </c>
      <c r="F11" s="3" t="inlineStr">
        <is>
          <t>https://doi.org/10.1002/joc.8662</t>
        </is>
      </c>
      <c r="G11" s="3" t="inlineStr">
        <is>
          <t>YDLL</t>
        </is>
      </c>
      <c r="H11" s="3" t="inlineStr">
        <is>
          <t>15/10/2026</t>
        </is>
      </c>
      <c r="I11" s="3" t="inlineStr">
        <is>
          <t>Francia</t>
        </is>
      </c>
      <c r="J11" s="3" t="inlineStr">
        <is>
          <t>Auvernia-Ródano-Alpes, PACA y Occitania (Alpes, Pirineos y Macizo Central; hasta 4808 m)</t>
        </is>
      </c>
      <c r="K11" s="3" t="n">
        <v>0</v>
      </c>
      <c r="L11" s="3" t="n">
        <v>0</v>
      </c>
      <c r="M11" s="3" t="n">
        <v>4808</v>
      </c>
      <c r="N11" s="3" t="n"/>
      <c r="O11" s="3" t="n">
        <v>300000</v>
      </c>
      <c r="P11" s="3" t="n">
        <v>3189</v>
      </c>
      <c r="Q11" s="3">
        <f>IF(AND(ISNUMBER(P11),ISNUMBER(O11)),P11/O11*1000,"")</f>
        <v/>
      </c>
      <c r="R11" s="3" t="inlineStr">
        <is>
          <t>precipitación</t>
        </is>
      </c>
      <c r="S11" s="3" t="inlineStr">
        <is>
          <t>estacional</t>
        </is>
      </c>
      <c r="T11" s="3" t="inlineStr">
        <is>
          <t>1982–2018</t>
        </is>
      </c>
      <c r="U11" s="3" t="inlineStr">
        <is>
          <t>coordenadas, altitud, distancias de amortiguación, precipitación AROME (CP-RCM)</t>
        </is>
      </c>
      <c r="V11" s="3" t="n"/>
      <c r="W11" s="3" t="inlineStr">
        <is>
          <t>KO; KED; GWR</t>
        </is>
      </c>
      <c r="X11" s="3" t="inlineStr">
        <is>
          <t>RF</t>
        </is>
      </c>
      <c r="Y11" s="3" t="n">
        <v>0</v>
      </c>
      <c r="Z11" s="3" t="n"/>
      <c r="AA11" s="3" t="inlineStr">
        <is>
          <t>estaciones independientes</t>
        </is>
      </c>
      <c r="AB11" s="3" t="n">
        <v>10</v>
      </c>
      <c r="AC11" s="3" t="n"/>
      <c r="AD11" s="3" t="n"/>
      <c r="AE11" s="3" t="n"/>
      <c r="AF11" s="3" t="inlineStr">
        <is>
          <t>mm</t>
        </is>
      </c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>
        <f>IF(AND(ISNUMBER(AD11),ISNUMBER(AE11)),LN(AD11/AE11),"")</f>
        <v/>
      </c>
      <c r="AQ11" s="3">
        <f>IF(ISNUMBER(AC11),(1-0.5)/AC11,"")</f>
        <v/>
      </c>
      <c r="AR11" s="3" t="inlineStr">
        <is>
          <t>Dudoso</t>
        </is>
      </c>
      <c r="AS11" s="3" t="n">
        <v>1</v>
      </c>
      <c r="AT11" s="3" t="inlineStr">
        <is>
          <t>Solo síntesis cualitativa: reporta KGE, R, beta y gamma, sin RMSE de evaluación (CI8). Dominio regional (~300 000 km²), no nacional. RMSE solicitado (correo redactado, no enviado).</t>
        </is>
      </c>
    </row>
    <row r="12">
      <c r="A12" s="3" t="inlineStr">
        <is>
          <t>arganaraz2025</t>
        </is>
      </c>
      <c r="B12" s="3" t="inlineStr">
        <is>
          <t>arganaraz2025_a</t>
        </is>
      </c>
      <c r="C12" s="3" t="inlineStr">
        <is>
          <t>Incluido</t>
        </is>
      </c>
      <c r="D12" s="3" t="inlineStr">
        <is>
          <t>Building a High-Resolution Climate Gridded Dataset in Complex Terrain: Validating Different Methods in the Abruzzo Region in Italy</t>
        </is>
      </c>
      <c r="E12" s="3" t="n">
        <v>2025</v>
      </c>
      <c r="F12" s="3" t="inlineStr">
        <is>
          <t>https://doi.org/10.1002/joc.70153</t>
        </is>
      </c>
      <c r="G12" s="3" t="inlineStr">
        <is>
          <t>OELM</t>
        </is>
      </c>
      <c r="H12" s="3" t="inlineStr">
        <is>
          <t>15/10/2026</t>
        </is>
      </c>
      <c r="I12" s="3" t="inlineStr">
        <is>
          <t>Italia</t>
        </is>
      </c>
      <c r="J12" s="3" t="inlineStr">
        <is>
          <t>Abruzzo, región completa (Apeninos centrales)</t>
        </is>
      </c>
      <c r="K12" s="3" t="n">
        <v>0</v>
      </c>
      <c r="L12" s="3" t="n">
        <v>5</v>
      </c>
      <c r="M12" s="3" t="n">
        <v>2800</v>
      </c>
      <c r="N12" s="3" t="n"/>
      <c r="O12" s="3" t="n">
        <v>10763</v>
      </c>
      <c r="P12" s="3" t="n">
        <v>50</v>
      </c>
      <c r="Q12" s="3">
        <f>IF(AND(ISNUMBER(P12),ISNUMBER(O12)),P12/O12*1000,"")</f>
        <v/>
      </c>
      <c r="R12" s="3" t="inlineStr">
        <is>
          <t>precipitación</t>
        </is>
      </c>
      <c r="S12" s="3" t="inlineStr">
        <is>
          <t>diaria</t>
        </is>
      </c>
      <c r="T12" s="3" t="inlineStr">
        <is>
          <t>1994–2013</t>
        </is>
      </c>
      <c r="U12" s="3" t="n"/>
      <c r="V12" s="3" t="n"/>
      <c r="W12" s="3" t="inlineStr">
        <is>
          <t>KU</t>
        </is>
      </c>
      <c r="X12" s="3" t="inlineStr">
        <is>
          <t>GBF</t>
        </is>
      </c>
      <c r="Y12" s="3" t="n">
        <v>0</v>
      </c>
      <c r="Z12" s="3" t="n">
        <v>1</v>
      </c>
      <c r="AA12" s="3" t="inlineStr">
        <is>
          <t>estaciones independientes</t>
        </is>
      </c>
      <c r="AB12" s="3" t="n"/>
      <c r="AC12" s="3" t="n">
        <v>17</v>
      </c>
      <c r="AD12" s="3" t="n">
        <v>0.45</v>
      </c>
      <c r="AE12" s="3" t="n">
        <v>0.48</v>
      </c>
      <c r="AF12" s="3" t="inlineStr">
        <is>
          <t>mm/día</t>
        </is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>
        <f>IF(AND(ISNUMBER(AD12),ISNUMBER(AE12)),LN(AD12/AE12),"")</f>
        <v/>
      </c>
      <c r="AQ12" s="3">
        <f>IF(ISNUMBER(AC12),(1-0.5)/AC12,"")</f>
        <v/>
      </c>
      <c r="AR12" s="3" t="inlineStr">
        <is>
          <t>Bajo</t>
        </is>
      </c>
      <c r="AS12" s="3" t="n"/>
      <c r="AT12" s="3" t="inlineStr">
        <is>
          <t>Análisis principal. Tabla 3 (anual)</t>
        </is>
      </c>
    </row>
    <row r="13">
      <c r="A13" s="3" t="inlineStr">
        <is>
          <t>arganaraz2025</t>
        </is>
      </c>
      <c r="B13" s="3" t="inlineStr">
        <is>
          <t>arganaraz2025_b</t>
        </is>
      </c>
      <c r="C13" s="3" t="inlineStr">
        <is>
          <t>Incluido</t>
        </is>
      </c>
      <c r="D13" s="3" t="inlineStr">
        <is>
          <t>Building a High-Resolution Climate Gridded Dataset in Complex Terrain: Validating Different Methods in the Abruzzo Region in Italy</t>
        </is>
      </c>
      <c r="E13" s="3" t="n">
        <v>2025</v>
      </c>
      <c r="F13" s="3" t="inlineStr">
        <is>
          <t>https://doi.org/10.1002/joc.70153</t>
        </is>
      </c>
      <c r="G13" s="3" t="inlineStr">
        <is>
          <t>OELM</t>
        </is>
      </c>
      <c r="H13" s="3" t="inlineStr">
        <is>
          <t>15/10/2026</t>
        </is>
      </c>
      <c r="I13" s="3" t="inlineStr">
        <is>
          <t>Italia</t>
        </is>
      </c>
      <c r="J13" s="3" t="inlineStr">
        <is>
          <t>Abruzzo, región completa (Apeninos centrales)</t>
        </is>
      </c>
      <c r="K13" s="3" t="n">
        <v>0</v>
      </c>
      <c r="L13" s="3" t="n">
        <v>5</v>
      </c>
      <c r="M13" s="3" t="n">
        <v>2800</v>
      </c>
      <c r="N13" s="3" t="n"/>
      <c r="O13" s="3" t="n">
        <v>10763</v>
      </c>
      <c r="P13" s="3" t="n">
        <v>50</v>
      </c>
      <c r="Q13" s="3">
        <f>IF(AND(ISNUMBER(P13),ISNUMBER(O13)),P13/O13*1000,"")</f>
        <v/>
      </c>
      <c r="R13" s="3" t="inlineStr">
        <is>
          <t>temperatura</t>
        </is>
      </c>
      <c r="S13" s="3" t="inlineStr">
        <is>
          <t>diaria</t>
        </is>
      </c>
      <c r="T13" s="3" t="inlineStr">
        <is>
          <t>1994–2013</t>
        </is>
      </c>
      <c r="U13" s="3" t="n"/>
      <c r="V13" s="3" t="n"/>
      <c r="W13" s="3" t="inlineStr">
        <is>
          <t>KU</t>
        </is>
      </c>
      <c r="X13" s="3" t="inlineStr">
        <is>
          <t>GBF</t>
        </is>
      </c>
      <c r="Y13" s="3" t="n">
        <v>0</v>
      </c>
      <c r="Z13" s="3" t="n">
        <v>1</v>
      </c>
      <c r="AA13" s="3" t="inlineStr">
        <is>
          <t>estaciones independientes</t>
        </is>
      </c>
      <c r="AB13" s="3" t="n"/>
      <c r="AC13" s="3" t="n">
        <v>17</v>
      </c>
      <c r="AD13" s="3" t="n"/>
      <c r="AE13" s="3" t="n"/>
      <c r="AF13" s="3" t="inlineStr">
        <is>
          <t>°C</t>
        </is>
      </c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>
        <v>-0.2125</v>
      </c>
      <c r="AQ13" s="3">
        <f>IF(ISNUMBER(AC13),(1-0.5)/AC13,"")</f>
        <v/>
      </c>
      <c r="AR13" s="3" t="inlineStr">
        <is>
          <t>Bajo</t>
        </is>
      </c>
      <c r="AS13" s="3" t="n"/>
      <c r="AT13" s="3" t="inlineStr">
        <is>
          <t>Análisis principal. Media TX (1.003 vs 1.522) y TN (1.23 vs 1.24)</t>
        </is>
      </c>
    </row>
    <row r="14">
      <c r="A14" s="3" t="inlineStr">
        <is>
          <t>ghorbani2025</t>
        </is>
      </c>
      <c r="B14" s="3" t="inlineStr">
        <is>
          <t>ghorbani2025_a</t>
        </is>
      </c>
      <c r="C14" s="3" t="inlineStr">
        <is>
          <t>Incluido</t>
        </is>
      </c>
      <c r="D14" s="3" t="inlineStr">
        <is>
          <t>Improve Precipitation Zoning Accuracy by Applying Ensemble Learning Models Based on Interpolation and Data Mining Integration</t>
        </is>
      </c>
      <c r="E14" s="3" t="n">
        <v>2025</v>
      </c>
      <c r="F14" s="3" t="inlineStr">
        <is>
          <t>https://doi.org/10.1007/s11269-025-04101-0</t>
        </is>
      </c>
      <c r="G14" s="3" t="inlineStr">
        <is>
          <t>OELM</t>
        </is>
      </c>
      <c r="H14" s="3" t="inlineStr">
        <is>
          <t>15/10/2026</t>
        </is>
      </c>
      <c r="I14" s="3" t="inlineStr">
        <is>
          <t>Irán</t>
        </is>
      </c>
      <c r="J14" s="3" t="inlineStr">
        <is>
          <t>Golestán, provincia completa (Alborz oriental)</t>
        </is>
      </c>
      <c r="K14" s="3" t="n">
        <v>0</v>
      </c>
      <c r="L14" s="3" t="n"/>
      <c r="M14" s="3" t="n">
        <v>4000</v>
      </c>
      <c r="N14" s="3" t="n"/>
      <c r="O14" s="3" t="n"/>
      <c r="P14" s="3" t="n">
        <v>150</v>
      </c>
      <c r="Q14" s="3">
        <f>IF(AND(ISNUMBER(P14),ISNUMBER(O14)),P14/O14*1000,"")</f>
        <v/>
      </c>
      <c r="R14" s="3" t="inlineStr">
        <is>
          <t>precipitación</t>
        </is>
      </c>
      <c r="S14" s="3" t="n"/>
      <c r="T14" s="3" t="n"/>
      <c r="U14" s="3" t="n"/>
      <c r="V14" s="3" t="n"/>
      <c r="W14" s="3" t="inlineStr">
        <is>
          <t>EBK</t>
        </is>
      </c>
      <c r="X14" s="3" t="inlineStr">
        <is>
          <t>M5</t>
        </is>
      </c>
      <c r="Y14" s="3" t="n">
        <v>0</v>
      </c>
      <c r="Z14" s="3" t="n">
        <v>0</v>
      </c>
      <c r="AA14" s="3" t="inlineStr">
        <is>
          <t>leave-one-out</t>
        </is>
      </c>
      <c r="AB14" s="3" t="n"/>
      <c r="AC14" s="3" t="n">
        <v>150</v>
      </c>
      <c r="AD14" s="3" t="n">
        <v>132</v>
      </c>
      <c r="AE14" s="3" t="n">
        <v>128.7</v>
      </c>
      <c r="AF14" s="3" t="inlineStr">
        <is>
          <t>mm</t>
        </is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>
        <f>IF(AND(ISNUMBER(AD14),ISNUMBER(AE14)),LN(AD14/AE14),"")</f>
        <v/>
      </c>
      <c r="AQ14" s="3">
        <f>IF(ISNUMBER(AC14),(1-0.5)/AC14,"")</f>
        <v/>
      </c>
      <c r="AR14" s="3" t="inlineStr">
        <is>
          <t>Alto</t>
        </is>
      </c>
      <c r="AS14" s="3" t="n"/>
      <c r="AT14" s="3" t="inlineStr">
        <is>
          <t>Análisis principal. Tablas 4-5; M5 evaluado dentro de muestra</t>
        </is>
      </c>
    </row>
    <row r="15">
      <c r="A15" s="3" t="inlineStr">
        <is>
          <t>he2025</t>
        </is>
      </c>
      <c r="B15" s="3" t="inlineStr">
        <is>
          <t>he2025_a</t>
        </is>
      </c>
      <c r="C15" s="3" t="inlineStr">
        <is>
          <t>Incluido</t>
        </is>
      </c>
      <c r="D15" s="3" t="inlineStr">
        <is>
          <t>Distributed Modeling for Daily Mean Air Temperature of Fujian Province Under Rugged Terrain With Different Land Surface Types</t>
        </is>
      </c>
      <c r="E15" s="3" t="n">
        <v>2025</v>
      </c>
      <c r="F15" s="3" t="inlineStr">
        <is>
          <t>https://doi.org/10.1109/JSTARS.2025.3622347</t>
        </is>
      </c>
      <c r="G15" s="3" t="inlineStr">
        <is>
          <t>OELM</t>
        </is>
      </c>
      <c r="H15" s="3" t="inlineStr">
        <is>
          <t>15/10/2026</t>
        </is>
      </c>
      <c r="I15" s="3" t="inlineStr">
        <is>
          <t>China</t>
        </is>
      </c>
      <c r="J15" s="3" t="inlineStr">
        <is>
          <t>Fujian, provincia completa (terreno accidentado)</t>
        </is>
      </c>
      <c r="K15" s="3" t="n">
        <v>0</v>
      </c>
      <c r="L15" s="3" t="n">
        <v>0</v>
      </c>
      <c r="M15" s="3" t="n">
        <v>2156</v>
      </c>
      <c r="N15" s="3" t="n"/>
      <c r="O15" s="3" t="n"/>
      <c r="P15" s="3" t="n">
        <v>116</v>
      </c>
      <c r="Q15" s="3">
        <f>IF(AND(ISNUMBER(P15),ISNUMBER(O15)),P15/O15*1000,"")</f>
        <v/>
      </c>
      <c r="R15" s="3" t="inlineStr">
        <is>
          <t>temperatura</t>
        </is>
      </c>
      <c r="S15" s="3" t="inlineStr">
        <is>
          <t>diaria</t>
        </is>
      </c>
      <c r="T15" s="3" t="n"/>
      <c r="U15" s="3" t="n"/>
      <c r="V15" s="3" t="inlineStr">
        <is>
          <t>ERA5</t>
        </is>
      </c>
      <c r="W15" s="3" t="inlineStr">
        <is>
          <t>KO</t>
        </is>
      </c>
      <c r="X15" s="3" t="inlineStr">
        <is>
          <t>CatBoost</t>
        </is>
      </c>
      <c r="Y15" s="3" t="n">
        <v>0</v>
      </c>
      <c r="Z15" s="3" t="n">
        <v>0</v>
      </c>
      <c r="AA15" s="3" t="inlineStr">
        <is>
          <t>estaciones independientes</t>
        </is>
      </c>
      <c r="AB15" s="3" t="n"/>
      <c r="AC15" s="3" t="n">
        <v>54</v>
      </c>
      <c r="AD15" s="3" t="n">
        <v>1.79</v>
      </c>
      <c r="AE15" s="3" t="n">
        <v>1.21</v>
      </c>
      <c r="AF15" s="3" t="inlineStr">
        <is>
          <t>°C</t>
        </is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>
        <f>IF(AND(ISNUMBER(AD15),ISNUMBER(AE15)),LN(AD15/AE15),"")</f>
        <v/>
      </c>
      <c r="AQ15" s="3">
        <f>IF(ISNUMBER(AC15),(1-0.5)/AC15,"")</f>
        <v/>
      </c>
      <c r="AR15" s="3" t="inlineStr">
        <is>
          <t>Dudoso</t>
        </is>
      </c>
      <c r="AS15" s="3" t="n"/>
      <c r="AT15" s="3" t="inlineStr">
        <is>
          <t>Análisis principal. Tabla IV; kriging sin covariables</t>
        </is>
      </c>
    </row>
    <row r="16">
      <c r="A16" s="3" t="inlineStr">
        <is>
          <t>husrevoglu2025</t>
        </is>
      </c>
      <c r="B16" s="3" t="inlineStr">
        <is>
          <t>husrevoglu2025_a</t>
        </is>
      </c>
      <c r="C16" s="3" t="inlineStr">
        <is>
          <t>Incluido</t>
        </is>
      </c>
      <c r="D16" s="3" t="inlineStr">
        <is>
          <t>Evaluating the performance of ANN and ANFIS models for spatial precipitation prediction in complex terrain: a case study in central Anatolia</t>
        </is>
      </c>
      <c r="E16" s="3" t="n">
        <v>2025</v>
      </c>
      <c r="F16" s="3" t="inlineStr">
        <is>
          <t>https://doi.org/10.1007/s00704-025-05637-2</t>
        </is>
      </c>
      <c r="G16" s="3" t="inlineStr">
        <is>
          <t>OELM</t>
        </is>
      </c>
      <c r="H16" s="3" t="inlineStr">
        <is>
          <t>15/10/2026</t>
        </is>
      </c>
      <c r="I16" s="3" t="inlineStr">
        <is>
          <t>Turquía</t>
        </is>
      </c>
      <c r="J16" s="3" t="inlineStr">
        <is>
          <t>Anatolia Central (topografía compleja)</t>
        </is>
      </c>
      <c r="K16" s="3" t="n">
        <v>0</v>
      </c>
      <c r="L16" s="3" t="n">
        <v>342</v>
      </c>
      <c r="M16" s="3" t="n">
        <v>3917</v>
      </c>
      <c r="N16" s="3" t="n"/>
      <c r="O16" s="3" t="n"/>
      <c r="P16" s="3" t="n">
        <v>193</v>
      </c>
      <c r="Q16" s="3">
        <f>IF(AND(ISNUMBER(P16),ISNUMBER(O16)),P16/O16*1000,"")</f>
        <v/>
      </c>
      <c r="R16" s="3" t="inlineStr">
        <is>
          <t>precipitación</t>
        </is>
      </c>
      <c r="S16" s="3" t="n"/>
      <c r="T16" s="3" t="n"/>
      <c r="U16" s="3" t="n"/>
      <c r="V16" s="3" t="n"/>
      <c r="W16" s="3" t="inlineStr">
        <is>
          <t>CoK</t>
        </is>
      </c>
      <c r="X16" s="3" t="inlineStr">
        <is>
          <t>RNA</t>
        </is>
      </c>
      <c r="Y16" s="3" t="n">
        <v>0</v>
      </c>
      <c r="Z16" s="3" t="n">
        <v>0</v>
      </c>
      <c r="AA16" s="3" t="inlineStr">
        <is>
          <t>estaciones independientes</t>
        </is>
      </c>
      <c r="AB16" s="3" t="n"/>
      <c r="AC16" s="3" t="n">
        <v>32</v>
      </c>
      <c r="AD16" s="3" t="n">
        <v>15.6</v>
      </c>
      <c r="AE16" s="3" t="n">
        <v>9.6</v>
      </c>
      <c r="AF16" s="3" t="inlineStr">
        <is>
          <t>mm</t>
        </is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>
        <f>IF(AND(ISNUMBER(AD16),ISNUMBER(AE16)),LN(AD16/AE16),"")</f>
        <v/>
      </c>
      <c r="AQ16" s="3">
        <f>IF(ISNUMBER(AC16),(1-0.5)/AC16,"")</f>
        <v/>
      </c>
      <c r="AR16" s="3" t="inlineStr">
        <is>
          <t>Alto</t>
        </is>
      </c>
      <c r="AS16" s="3" t="n"/>
      <c r="AT16" s="3" t="inlineStr">
        <is>
          <t>Análisis principal. Tabla 3. Modelos de AA elegidos por menor RMSE de prueba (fuga); sin el punto EMP el efecto sería ≈0,22 (estimación de Obed).</t>
        </is>
      </c>
    </row>
    <row r="17">
      <c r="A17" s="3" t="inlineStr">
        <is>
          <t>liu2025</t>
        </is>
      </c>
      <c r="B17" s="3" t="inlineStr">
        <is>
          <t>liu2025_a</t>
        </is>
      </c>
      <c r="C17" s="3" t="inlineStr">
        <is>
          <t>Incluido</t>
        </is>
      </c>
      <c r="D17" s="3" t="inlineStr">
        <is>
          <t>Comparative Study on the Different Downscaling Methods for GPM Products in Complex Terrain Areas</t>
        </is>
      </c>
      <c r="E17" s="3" t="n">
        <v>2025</v>
      </c>
      <c r="F17" s="3" t="inlineStr">
        <is>
          <t>https://doi.org/10.3390/earth6040129</t>
        </is>
      </c>
      <c r="G17" s="3" t="inlineStr">
        <is>
          <t>KPPM</t>
        </is>
      </c>
      <c r="H17" s="3" t="inlineStr">
        <is>
          <t>15/10/2026</t>
        </is>
      </c>
      <c r="I17" s="3" t="inlineStr">
        <is>
          <t>China</t>
        </is>
      </c>
      <c r="J17" s="3" t="inlineStr">
        <is>
          <t>Sichuan, provincia completa (188–7556 m)</t>
        </is>
      </c>
      <c r="K17" s="3" t="n">
        <v>0</v>
      </c>
      <c r="L17" s="3" t="n">
        <v>188</v>
      </c>
      <c r="M17" s="3" t="n">
        <v>7556</v>
      </c>
      <c r="N17" s="3" t="n"/>
      <c r="O17" s="3" t="n">
        <v>486000</v>
      </c>
      <c r="P17" s="3" t="n">
        <v>40</v>
      </c>
      <c r="Q17" s="3">
        <f>IF(AND(ISNUMBER(P17),ISNUMBER(O17)),P17/O17*1000,"")</f>
        <v/>
      </c>
      <c r="R17" s="3" t="inlineStr">
        <is>
          <t>precipitación</t>
        </is>
      </c>
      <c r="S17" s="3" t="inlineStr">
        <is>
          <t>mensual</t>
        </is>
      </c>
      <c r="T17" s="3" t="inlineStr">
        <is>
          <t>enero y agosto de 2020</t>
        </is>
      </c>
      <c r="U17" s="3" t="n"/>
      <c r="V17" s="3" t="inlineStr">
        <is>
          <t>GPM</t>
        </is>
      </c>
      <c r="W17" s="3" t="inlineStr">
        <is>
          <t>MGWR</t>
        </is>
      </c>
      <c r="X17" s="3" t="inlineStr">
        <is>
          <t>RF</t>
        </is>
      </c>
      <c r="Y17" s="3" t="n">
        <v>0</v>
      </c>
      <c r="Z17" s="3" t="n">
        <v>1</v>
      </c>
      <c r="AA17" s="3" t="inlineStr">
        <is>
          <t>estaciones independientes</t>
        </is>
      </c>
      <c r="AB17" s="3" t="n"/>
      <c r="AC17" s="3" t="n">
        <v>40</v>
      </c>
      <c r="AD17" s="3" t="n"/>
      <c r="AE17" s="3" t="n"/>
      <c r="AF17" s="3" t="inlineStr">
        <is>
          <t>mm</t>
        </is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>
        <v>0.0858</v>
      </c>
      <c r="AQ17" s="3">
        <f>IF(ISNUMBER(AC17),(1-0.5)/AC17,"")</f>
        <v/>
      </c>
      <c r="AR17" s="3" t="inlineStr">
        <is>
          <t>Dudoso</t>
        </is>
      </c>
      <c r="AS17" s="3" t="n"/>
      <c r="AT17" s="3" t="inlineStr">
        <is>
          <t>Análisis principal. Fig. 7: enero 9.5 vs 8.5; agosto 117.5 vs 110.6 (la figura dice 1117.5)</t>
        </is>
      </c>
    </row>
    <row r="18">
      <c r="A18" s="3" t="inlineStr">
        <is>
          <t>ahmed2026</t>
        </is>
      </c>
      <c r="B18" s="3" t="inlineStr">
        <is>
          <t>ahmed2026_a</t>
        </is>
      </c>
      <c r="C18" s="3" t="inlineStr">
        <is>
          <t>Incluido</t>
        </is>
      </c>
      <c r="D18" s="3" t="inlineStr">
        <is>
          <t>Enhanced spatial precipitation maps by integrating XGBoost machine learning, terrain indices, and optimal interpolation</t>
        </is>
      </c>
      <c r="E18" s="3" t="n">
        <v>2026</v>
      </c>
      <c r="F18" s="3" t="inlineStr">
        <is>
          <t>https://doi.org/10.1007/s00704-026-06177-z</t>
        </is>
      </c>
      <c r="G18" s="3" t="inlineStr">
        <is>
          <t>KPPM</t>
        </is>
      </c>
      <c r="H18" s="3" t="inlineStr">
        <is>
          <t>15/10/2026</t>
        </is>
      </c>
      <c r="I18" s="3" t="inlineStr">
        <is>
          <t>Irak</t>
        </is>
      </c>
      <c r="J18" s="3" t="inlineStr">
        <is>
          <t>Región del Kurdistán (inferida de la afiliación)</t>
        </is>
      </c>
      <c r="K18" s="3" t="n">
        <v>0</v>
      </c>
      <c r="L18" s="3" t="n"/>
      <c r="M18" s="3" t="n"/>
      <c r="N18" s="3" t="n"/>
      <c r="O18" s="3" t="n"/>
      <c r="P18" s="3" t="n"/>
      <c r="Q18" s="3">
        <f>IF(AND(ISNUMBER(P18),ISNUMBER(O18)),P18/O18*1000,"")</f>
        <v/>
      </c>
      <c r="R18" s="3" t="inlineStr">
        <is>
          <t>precipitación</t>
        </is>
      </c>
      <c r="S18" s="3" t="n"/>
      <c r="T18" s="3" t="n"/>
      <c r="U18" s="3" t="n"/>
      <c r="V18" s="3" t="n"/>
      <c r="W18" s="3" t="inlineStr">
        <is>
          <t>EBK; KO</t>
        </is>
      </c>
      <c r="X18" s="3" t="inlineStr">
        <is>
          <t>GB (XGBoost)</t>
        </is>
      </c>
      <c r="Y18" s="3" t="n">
        <v>0</v>
      </c>
      <c r="Z18" s="3" t="n"/>
      <c r="AA18" s="3" t="inlineStr">
        <is>
          <t>leave-one-out</t>
        </is>
      </c>
      <c r="AB18" s="3" t="n"/>
      <c r="AC18" s="3" t="n"/>
      <c r="AD18" s="3" t="n">
        <v>82.48999999999999</v>
      </c>
      <c r="AE18" s="3" t="n"/>
      <c r="AF18" s="3" t="inlineStr">
        <is>
          <t>mm</t>
        </is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>
        <f>IF(ISNUMBER(AC18),(1-0.5)/AC18,"")</f>
        <v/>
      </c>
      <c r="AR18" s="3" t="n"/>
      <c r="AS18" s="3" t="n"/>
      <c r="AT18" s="3" t="inlineStr">
        <is>
          <t>Sin texto completo (de pago). Solo síntesis narrativa: EBK 82,49 mm y KO 87,06 mm; XGBoost y n no verificados. Correo redactado, no enviado.</t>
        </is>
      </c>
    </row>
    <row r="19">
      <c r="A19" s="3" t="inlineStr">
        <is>
          <t>jiang2026</t>
        </is>
      </c>
      <c r="B19" s="3" t="inlineStr">
        <is>
          <t>jiang2026_a</t>
        </is>
      </c>
      <c r="C19" s="3" t="inlineStr">
        <is>
          <t>Incluido</t>
        </is>
      </c>
      <c r="D19" s="3" t="inlineStr">
        <is>
          <t>Comparative analysis of spatial interpolation methods for daily rainfall data in complex terrain</t>
        </is>
      </c>
      <c r="E19" s="3" t="n">
        <v>2026</v>
      </c>
      <c r="F19" s="3" t="inlineStr">
        <is>
          <t>https://doi.org/10.1007/s00704-026-06041-0</t>
        </is>
      </c>
      <c r="G19" s="3" t="inlineStr">
        <is>
          <t>KPPM</t>
        </is>
      </c>
      <c r="H19" s="3" t="inlineStr">
        <is>
          <t>15/10/2026</t>
        </is>
      </c>
      <c r="I19" s="3" t="inlineStr">
        <is>
          <t>China</t>
        </is>
      </c>
      <c r="J19" s="3" t="inlineStr">
        <is>
          <t>Meseta de Loess (Shaanxi, Shanxi, Gansu, Ningxia, M. Interior, Henan y Qinghai)</t>
        </is>
      </c>
      <c r="K19" s="3" t="n">
        <v>0</v>
      </c>
      <c r="L19" s="3" t="n"/>
      <c r="M19" s="3" t="n"/>
      <c r="N19" s="3" t="n"/>
      <c r="O19" s="3" t="n">
        <v>640000</v>
      </c>
      <c r="P19" s="3" t="n">
        <v>384</v>
      </c>
      <c r="Q19" s="3">
        <f>IF(AND(ISNUMBER(P19),ISNUMBER(O19)),P19/O19*1000,"")</f>
        <v/>
      </c>
      <c r="R19" s="3" t="inlineStr">
        <is>
          <t>precipitación</t>
        </is>
      </c>
      <c r="S19" s="3" t="inlineStr">
        <is>
          <t>diaria</t>
        </is>
      </c>
      <c r="T19" s="3" t="inlineStr">
        <is>
          <t>1980–2020</t>
        </is>
      </c>
      <c r="U19" s="3" t="inlineStr">
        <is>
          <t>elevación SRTM</t>
        </is>
      </c>
      <c r="V19" s="3" t="n"/>
      <c r="W19" s="3" t="inlineStr">
        <is>
          <t>CoK</t>
        </is>
      </c>
      <c r="X19" s="3" t="inlineStr">
        <is>
          <t>RF</t>
        </is>
      </c>
      <c r="Y19" s="3" t="n">
        <v>0</v>
      </c>
      <c r="Z19" s="3" t="n">
        <v>1</v>
      </c>
      <c r="AA19" s="3" t="inlineStr">
        <is>
          <t>estaciones independientes</t>
        </is>
      </c>
      <c r="AB19" s="3" t="n"/>
      <c r="AC19" s="3" t="n">
        <v>87</v>
      </c>
      <c r="AD19" s="3" t="n">
        <v>3.584</v>
      </c>
      <c r="AE19" s="3" t="n">
        <v>2.974</v>
      </c>
      <c r="AF19" s="3" t="inlineStr">
        <is>
          <t>mm/día</t>
        </is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>
        <f>IF(AND(ISNUMBER(AD19),ISNUMBER(AE19)),LN(AD19/AE19),"")</f>
        <v/>
      </c>
      <c r="AQ19" s="3">
        <f>IF(ISNUMBER(AC19),(1-0.5)/AC19,"")</f>
        <v/>
      </c>
      <c r="AR19" s="3" t="inlineStr">
        <is>
          <t>Dudoso</t>
        </is>
      </c>
      <c r="AS19" s="3" t="n"/>
      <c r="AT19" s="3" t="inlineStr">
        <is>
          <t>Análisis principal. Tabla 3. Partición aleatoria estratificada 70/30 sin bloques espaciales; el texto cita 87 estaciones de prueba (30 % de 384 serían 115).</t>
        </is>
      </c>
    </row>
    <row r="20">
      <c r="A20" s="3" t="inlineStr">
        <is>
          <t>liu2026b</t>
        </is>
      </c>
      <c r="B20" s="3" t="inlineStr">
        <is>
          <t>liu2026b_a</t>
        </is>
      </c>
      <c r="C20" s="3" t="inlineStr">
        <is>
          <t>Incluido</t>
        </is>
      </c>
      <c r="D20" s="3" t="inlineStr">
        <is>
          <t>A Spatiotemporal Interpolation Method for Regional Precipitation Data Based on a Spatiotemporal Decay Graph Model</t>
        </is>
      </c>
      <c r="E20" s="3" t="n">
        <v>2026</v>
      </c>
      <c r="F20" s="3" t="inlineStr">
        <is>
          <t>https://doi.org/10.3390/cli14070136</t>
        </is>
      </c>
      <c r="G20" s="3" t="inlineStr">
        <is>
          <t>KPPM</t>
        </is>
      </c>
      <c r="H20" s="3" t="inlineStr">
        <is>
          <t>15/10/2026</t>
        </is>
      </c>
      <c r="I20" s="3" t="inlineStr">
        <is>
          <t>China</t>
        </is>
      </c>
      <c r="J20" s="3" t="inlineStr">
        <is>
          <t>Gansu, Longnan (montañosa)</t>
        </is>
      </c>
      <c r="K20" s="3" t="n">
        <v>0</v>
      </c>
      <c r="L20" s="3" t="n"/>
      <c r="M20" s="3" t="n"/>
      <c r="N20" s="3" t="n"/>
      <c r="O20" s="3" t="n"/>
      <c r="P20" s="3" t="n">
        <v>9</v>
      </c>
      <c r="Q20" s="3">
        <f>IF(AND(ISNUMBER(P20),ISNUMBER(O20)),P20/O20*1000,"")</f>
        <v/>
      </c>
      <c r="R20" s="3" t="inlineStr">
        <is>
          <t>precipitación</t>
        </is>
      </c>
      <c r="S20" s="3" t="inlineStr">
        <is>
          <t>diaria</t>
        </is>
      </c>
      <c r="T20" s="3" t="n"/>
      <c r="U20" s="3" t="n"/>
      <c r="V20" s="3" t="inlineStr">
        <is>
          <t>ERA5; GPCP</t>
        </is>
      </c>
      <c r="W20" s="3" t="inlineStr">
        <is>
          <t>KO</t>
        </is>
      </c>
      <c r="X20" s="3" t="inlineStr">
        <is>
          <t>RNA de grafos</t>
        </is>
      </c>
      <c r="Y20" s="3" t="n">
        <v>0</v>
      </c>
      <c r="Z20" s="3" t="n">
        <v>1</v>
      </c>
      <c r="AA20" s="3" t="inlineStr">
        <is>
          <t>estaciones independientes</t>
        </is>
      </c>
      <c r="AB20" s="3" t="n"/>
      <c r="AC20" s="3" t="n">
        <v>9</v>
      </c>
      <c r="AD20" s="3" t="n">
        <v>1.4</v>
      </c>
      <c r="AE20" s="3" t="n">
        <v>1.2</v>
      </c>
      <c r="AF20" s="3" t="inlineStr">
        <is>
          <t>mm/día</t>
        </is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>
        <f>IF(AND(ISNUMBER(AD20),ISNUMBER(AE20)),LN(AD20/AE20),"")</f>
        <v/>
      </c>
      <c r="AQ20" s="3">
        <f>IF(ISNUMBER(AC20),(1-0.5)/AC20,"")</f>
        <v/>
      </c>
      <c r="AR20" s="3" t="inlineStr">
        <is>
          <t>Dudoso</t>
        </is>
      </c>
      <c r="AS20" s="3" t="n"/>
      <c r="AT20" s="3" t="inlineStr">
        <is>
          <t>Análisis principal. Promedio global OK 1,4 y DG 1,2 mm/día. El CoK por tipo de terreno (≈1,1-1,2) podría ser el mejor espacial, pero no hay promedio global.</t>
        </is>
      </c>
    </row>
    <row r="21">
      <c r="A21" s="3" t="inlineStr">
        <is>
          <t>li2026</t>
        </is>
      </c>
      <c r="B21" s="3" t="inlineStr">
        <is>
          <t>li2026_a</t>
        </is>
      </c>
      <c r="C21" s="3" t="inlineStr">
        <is>
          <t>Incluido</t>
        </is>
      </c>
      <c r="D21" s="3" t="inlineStr">
        <is>
          <t>High-Precision Spatial Interpolation of Meteorological Variables in Complex Terrain Using Machine Learning Methods</t>
        </is>
      </c>
      <c r="E21" s="3" t="n">
        <v>2026</v>
      </c>
      <c r="F21" s="3" t="inlineStr">
        <is>
          <t>https://doi.org/10.3390/s26072167</t>
        </is>
      </c>
      <c r="G21" s="3" t="inlineStr">
        <is>
          <t>KPPM</t>
        </is>
      </c>
      <c r="H21" s="3" t="inlineStr">
        <is>
          <t>15/10/2026</t>
        </is>
      </c>
      <c r="I21" s="3" t="inlineStr">
        <is>
          <t>China</t>
        </is>
      </c>
      <c r="J21" s="3" t="inlineStr">
        <is>
          <t>Presa Xiluodu, cañón del río Jinsha</t>
        </is>
      </c>
      <c r="K21" s="3" t="n">
        <v>0</v>
      </c>
      <c r="L21" s="3" t="n">
        <v>472</v>
      </c>
      <c r="M21" s="3" t="n">
        <v>892</v>
      </c>
      <c r="N21" s="3" t="n"/>
      <c r="O21" s="3" t="n"/>
      <c r="P21" s="3" t="n">
        <v>47</v>
      </c>
      <c r="Q21" s="3">
        <f>IF(AND(ISNUMBER(P21),ISNUMBER(O21)),P21/O21*1000,"")</f>
        <v/>
      </c>
      <c r="R21" s="3" t="inlineStr">
        <is>
          <t>temperatura</t>
        </is>
      </c>
      <c r="S21" s="3" t="inlineStr">
        <is>
          <t>diaria</t>
        </is>
      </c>
      <c r="T21" s="3" t="inlineStr">
        <is>
          <t>2023–2024</t>
        </is>
      </c>
      <c r="U21" s="3" t="inlineStr">
        <is>
          <t>coordenadas, elevación; XGB-C añade la meteorología de una estación central y el día del año</t>
        </is>
      </c>
      <c r="V21" s="3" t="inlineStr">
        <is>
          <t>ninguno</t>
        </is>
      </c>
      <c r="W21" s="3" t="inlineStr">
        <is>
          <t>KO</t>
        </is>
      </c>
      <c r="X21" s="3" t="inlineStr">
        <is>
          <t>XGB-C</t>
        </is>
      </c>
      <c r="Y21" s="3" t="n">
        <v>0</v>
      </c>
      <c r="Z21" s="3" t="n">
        <v>0</v>
      </c>
      <c r="AA21" s="3" t="inlineStr">
        <is>
          <t>estaciones independientes</t>
        </is>
      </c>
      <c r="AB21" s="3" t="n"/>
      <c r="AC21" s="3" t="n">
        <v>9</v>
      </c>
      <c r="AD21" s="3" t="n">
        <v>1.92</v>
      </c>
      <c r="AE21" s="3" t="n">
        <v>1.17</v>
      </c>
      <c r="AF21" s="3" t="inlineStr">
        <is>
          <t>°C</t>
        </is>
      </c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>
        <f>IF(AND(ISNUMBER(AD21),ISNUMBER(AE21)),LN(AD21/AE21),"")</f>
        <v/>
      </c>
      <c r="AQ21" s="3">
        <f>IF(ISNUMBER(AC21),(1-0.5)/AC21,"")</f>
        <v/>
      </c>
      <c r="AR21" s="3" t="inlineStr">
        <is>
          <t>Dudoso</t>
        </is>
      </c>
      <c r="AS21" s="3" t="n"/>
      <c r="AT21" s="3" t="inlineStr">
        <is>
          <t>Análisis principal. Fig. 7 (RMSE anual medio); XGB-C usa la estación de referencia como covariable; RF 1.28</t>
        </is>
      </c>
    </row>
    <row r="22">
      <c r="Q22">
        <f>IF(AND(ISNUMBER(P22),ISNUMBER(O22)),P22/O22*1000,"")</f>
        <v/>
      </c>
      <c r="AP22">
        <f>IF(AND(ISNUMBER(AD22),ISNUMBER(AE22)),LN(AD22/AE22),"")</f>
        <v/>
      </c>
      <c r="AQ22">
        <f>IF(ISNUMBER(AC22),1/AC22,"")</f>
        <v/>
      </c>
    </row>
    <row r="23">
      <c r="Q23">
        <f>IF(AND(ISNUMBER(P23),ISNUMBER(O23)),P23/O23*1000,"")</f>
        <v/>
      </c>
      <c r="AP23">
        <f>IF(AND(ISNUMBER(AD23),ISNUMBER(AE23)),LN(AD23/AE23),"")</f>
        <v/>
      </c>
      <c r="AQ23">
        <f>IF(ISNUMBER(AC23),1/AC23,"")</f>
        <v/>
      </c>
    </row>
    <row r="24">
      <c r="Q24">
        <f>IF(AND(ISNUMBER(P24),ISNUMBER(O24)),P24/O24*1000,"")</f>
        <v/>
      </c>
      <c r="AP24">
        <f>IF(AND(ISNUMBER(AD24),ISNUMBER(AE24)),LN(AD24/AE24),"")</f>
        <v/>
      </c>
      <c r="AQ24">
        <f>IF(ISNUMBER(AC24),1/AC24,"")</f>
        <v/>
      </c>
    </row>
    <row r="25">
      <c r="Q25">
        <f>IF(AND(ISNUMBER(P25),ISNUMBER(O25)),P25/O25*1000,"")</f>
        <v/>
      </c>
      <c r="AP25">
        <f>IF(AND(ISNUMBER(AD25),ISNUMBER(AE25)),LN(AD25/AE25),"")</f>
        <v/>
      </c>
      <c r="AQ25">
        <f>IF(ISNUMBER(AC25),1/AC25,"")</f>
        <v/>
      </c>
    </row>
    <row r="26">
      <c r="Q26">
        <f>IF(AND(ISNUMBER(P26),ISNUMBER(O26)),P26/O26*1000,"")</f>
        <v/>
      </c>
      <c r="AP26">
        <f>IF(AND(ISNUMBER(AD26),ISNUMBER(AE26)),LN(AD26/AE26),"")</f>
        <v/>
      </c>
      <c r="AQ26">
        <f>IF(ISNUMBER(AC26),1/AC26,"")</f>
        <v/>
      </c>
    </row>
    <row r="27">
      <c r="Q27">
        <f>IF(AND(ISNUMBER(P27),ISNUMBER(O27)),P27/O27*1000,"")</f>
        <v/>
      </c>
      <c r="AP27">
        <f>IF(AND(ISNUMBER(AD27),ISNUMBER(AE27)),LN(AD27/AE27),"")</f>
        <v/>
      </c>
      <c r="AQ27">
        <f>IF(ISNUMBER(AC27),1/AC27,"")</f>
        <v/>
      </c>
    </row>
    <row r="28">
      <c r="Q28">
        <f>IF(AND(ISNUMBER(P28),ISNUMBER(O28)),P28/O28*1000,"")</f>
        <v/>
      </c>
      <c r="AP28">
        <f>IF(AND(ISNUMBER(AD28),ISNUMBER(AE28)),LN(AD28/AE28),"")</f>
        <v/>
      </c>
      <c r="AQ28">
        <f>IF(ISNUMBER(AC28),1/AC28,"")</f>
        <v/>
      </c>
    </row>
    <row r="29">
      <c r="Q29">
        <f>IF(AND(ISNUMBER(P29),ISNUMBER(O29)),P29/O29*1000,"")</f>
        <v/>
      </c>
      <c r="AP29">
        <f>IF(AND(ISNUMBER(AD29),ISNUMBER(AE29)),LN(AD29/AE29),"")</f>
        <v/>
      </c>
      <c r="AQ29">
        <f>IF(ISNUMBER(AC29),1/AC29,"")</f>
        <v/>
      </c>
    </row>
    <row r="30">
      <c r="Q30">
        <f>IF(AND(ISNUMBER(P30),ISNUMBER(O30)),P30/O30*1000,"")</f>
        <v/>
      </c>
      <c r="AP30">
        <f>IF(AND(ISNUMBER(AD30),ISNUMBER(AE30)),LN(AD30/AE30),"")</f>
        <v/>
      </c>
      <c r="AQ30">
        <f>IF(ISNUMBER(AC30),1/AC30,"")</f>
        <v/>
      </c>
    </row>
    <row r="31">
      <c r="Q31">
        <f>IF(AND(ISNUMBER(P31),ISNUMBER(O31)),P31/O31*1000,"")</f>
        <v/>
      </c>
      <c r="AP31">
        <f>IF(AND(ISNUMBER(AD31),ISNUMBER(AE31)),LN(AD31/AE31),"")</f>
        <v/>
      </c>
      <c r="AQ31">
        <f>IF(ISNUMBER(AC31),1/AC31,"")</f>
        <v/>
      </c>
    </row>
    <row r="32">
      <c r="Q32">
        <f>IF(AND(ISNUMBER(P32),ISNUMBER(O32)),P32/O32*1000,"")</f>
        <v/>
      </c>
      <c r="AP32">
        <f>IF(AND(ISNUMBER(AD32),ISNUMBER(AE32)),LN(AD32/AE32),"")</f>
        <v/>
      </c>
      <c r="AQ32">
        <f>IF(ISNUMBER(AC32),1/AC32,"")</f>
        <v/>
      </c>
    </row>
    <row r="33">
      <c r="Q33">
        <f>IF(AND(ISNUMBER(P33),ISNUMBER(O33)),P33/O33*1000,"")</f>
        <v/>
      </c>
      <c r="AP33">
        <f>IF(AND(ISNUMBER(AD33),ISNUMBER(AE33)),LN(AD33/AE33),"")</f>
        <v/>
      </c>
      <c r="AQ33">
        <f>IF(ISNUMBER(AC33),1/AC33,"")</f>
        <v/>
      </c>
    </row>
    <row r="34">
      <c r="Q34">
        <f>IF(AND(ISNUMBER(P34),ISNUMBER(O34)),P34/O34*1000,"")</f>
        <v/>
      </c>
      <c r="AP34">
        <f>IF(AND(ISNUMBER(AD34),ISNUMBER(AE34)),LN(AD34/AE34),"")</f>
        <v/>
      </c>
      <c r="AQ34">
        <f>IF(ISNUMBER(AC34),1/AC34,"")</f>
        <v/>
      </c>
    </row>
    <row r="35">
      <c r="Q35">
        <f>IF(AND(ISNUMBER(P35),ISNUMBER(O35)),P35/O35*1000,"")</f>
        <v/>
      </c>
      <c r="AP35">
        <f>IF(AND(ISNUMBER(AD35),ISNUMBER(AE35)),LN(AD35/AE35),"")</f>
        <v/>
      </c>
      <c r="AQ35">
        <f>IF(ISNUMBER(AC35),1/AC35,"")</f>
        <v/>
      </c>
    </row>
    <row r="36">
      <c r="Q36">
        <f>IF(AND(ISNUMBER(P36),ISNUMBER(O36)),P36/O36*1000,"")</f>
        <v/>
      </c>
      <c r="AP36">
        <f>IF(AND(ISNUMBER(AD36),ISNUMBER(AE36)),LN(AD36/AE36),"")</f>
        <v/>
      </c>
      <c r="AQ36">
        <f>IF(ISNUMBER(AC36),1/AC36,"")</f>
        <v/>
      </c>
    </row>
    <row r="37">
      <c r="Q37">
        <f>IF(AND(ISNUMBER(P37),ISNUMBER(O37)),P37/O37*1000,"")</f>
        <v/>
      </c>
      <c r="AP37">
        <f>IF(AND(ISNUMBER(AD37),ISNUMBER(AE37)),LN(AD37/AE37),"")</f>
        <v/>
      </c>
      <c r="AQ37">
        <f>IF(ISNUMBER(AC37),1/AC37,"")</f>
        <v/>
      </c>
    </row>
    <row r="38">
      <c r="Q38">
        <f>IF(AND(ISNUMBER(P38),ISNUMBER(O38)),P38/O38*1000,"")</f>
        <v/>
      </c>
      <c r="AP38">
        <f>IF(AND(ISNUMBER(AD38),ISNUMBER(AE38)),LN(AD38/AE38),"")</f>
        <v/>
      </c>
      <c r="AQ38">
        <f>IF(ISNUMBER(AC38),1/AC38,"")</f>
        <v/>
      </c>
    </row>
    <row r="39">
      <c r="Q39">
        <f>IF(AND(ISNUMBER(P39),ISNUMBER(O39)),P39/O39*1000,"")</f>
        <v/>
      </c>
      <c r="AP39">
        <f>IF(AND(ISNUMBER(AD39),ISNUMBER(AE39)),LN(AD39/AE39),"")</f>
        <v/>
      </c>
      <c r="AQ39">
        <f>IF(ISNUMBER(AC39),1/AC39,"")</f>
        <v/>
      </c>
    </row>
    <row r="40">
      <c r="Q40">
        <f>IF(AND(ISNUMBER(P40),ISNUMBER(O40)),P40/O40*1000,"")</f>
        <v/>
      </c>
      <c r="AP40">
        <f>IF(AND(ISNUMBER(AD40),ISNUMBER(AE40)),LN(AD40/AE40),"")</f>
        <v/>
      </c>
      <c r="AQ40">
        <f>IF(ISNUMBER(AC40),1/AC40,"")</f>
        <v/>
      </c>
    </row>
    <row r="41">
      <c r="Q41">
        <f>IF(AND(ISNUMBER(P41),ISNUMBER(O41)),P41/O41*1000,"")</f>
        <v/>
      </c>
      <c r="AP41">
        <f>IF(AND(ISNUMBER(AD41),ISNUMBER(AE41)),LN(AD41/AE41),"")</f>
        <v/>
      </c>
      <c r="AQ41">
        <f>IF(ISNUMBER(AC41),1/AC41,"")</f>
        <v/>
      </c>
    </row>
    <row r="42">
      <c r="Q42">
        <f>IF(AND(ISNUMBER(P42),ISNUMBER(O42)),P42/O42*1000,"")</f>
        <v/>
      </c>
      <c r="AP42">
        <f>IF(AND(ISNUMBER(AD42),ISNUMBER(AE42)),LN(AD42/AE42),"")</f>
        <v/>
      </c>
      <c r="AQ42">
        <f>IF(ISNUMBER(AC42),1/AC42,"")</f>
        <v/>
      </c>
    </row>
    <row r="43">
      <c r="Q43">
        <f>IF(AND(ISNUMBER(P43),ISNUMBER(O43)),P43/O43*1000,"")</f>
        <v/>
      </c>
      <c r="AP43">
        <f>IF(AND(ISNUMBER(AD43),ISNUMBER(AE43)),LN(AD43/AE43),"")</f>
        <v/>
      </c>
      <c r="AQ43">
        <f>IF(ISNUMBER(AC43),1/AC43,"")</f>
        <v/>
      </c>
    </row>
    <row r="44">
      <c r="Q44">
        <f>IF(AND(ISNUMBER(P44),ISNUMBER(O44)),P44/O44*1000,"")</f>
        <v/>
      </c>
      <c r="AP44">
        <f>IF(AND(ISNUMBER(AD44),ISNUMBER(AE44)),LN(AD44/AE44),"")</f>
        <v/>
      </c>
      <c r="AQ44">
        <f>IF(ISNUMBER(AC44),1/AC44,"")</f>
        <v/>
      </c>
    </row>
    <row r="45">
      <c r="Q45">
        <f>IF(AND(ISNUMBER(P45),ISNUMBER(O45)),P45/O45*1000,"")</f>
        <v/>
      </c>
      <c r="AP45">
        <f>IF(AND(ISNUMBER(AD45),ISNUMBER(AE45)),LN(AD45/AE45),"")</f>
        <v/>
      </c>
      <c r="AQ45">
        <f>IF(ISNUMBER(AC45),1/AC45,"")</f>
        <v/>
      </c>
    </row>
    <row r="46">
      <c r="Q46">
        <f>IF(AND(ISNUMBER(P46),ISNUMBER(O46)),P46/O46*1000,"")</f>
        <v/>
      </c>
      <c r="AP46">
        <f>IF(AND(ISNUMBER(AD46),ISNUMBER(AE46)),LN(AD46/AE46),"")</f>
        <v/>
      </c>
      <c r="AQ46">
        <f>IF(ISNUMBER(AC46),1/AC46,"")</f>
        <v/>
      </c>
    </row>
    <row r="47">
      <c r="Q47">
        <f>IF(AND(ISNUMBER(P47),ISNUMBER(O47)),P47/O47*1000,"")</f>
        <v/>
      </c>
      <c r="AP47">
        <f>IF(AND(ISNUMBER(AD47),ISNUMBER(AE47)),LN(AD47/AE47),"")</f>
        <v/>
      </c>
      <c r="AQ47">
        <f>IF(ISNUMBER(AC47),1/AC47,"")</f>
        <v/>
      </c>
    </row>
    <row r="48">
      <c r="Q48">
        <f>IF(AND(ISNUMBER(P48),ISNUMBER(O48)),P48/O48*1000,"")</f>
        <v/>
      </c>
      <c r="AP48">
        <f>IF(AND(ISNUMBER(AD48),ISNUMBER(AE48)),LN(AD48/AE48),"")</f>
        <v/>
      </c>
      <c r="AQ48">
        <f>IF(ISNUMBER(AC48),1/AC48,"")</f>
        <v/>
      </c>
    </row>
    <row r="49">
      <c r="Q49">
        <f>IF(AND(ISNUMBER(P49),ISNUMBER(O49)),P49/O49*1000,"")</f>
        <v/>
      </c>
      <c r="AP49">
        <f>IF(AND(ISNUMBER(AD49),ISNUMBER(AE49)),LN(AD49/AE49),"")</f>
        <v/>
      </c>
      <c r="AQ49">
        <f>IF(ISNUMBER(AC49),1/AC49,"")</f>
        <v/>
      </c>
    </row>
    <row r="50">
      <c r="Q50">
        <f>IF(AND(ISNUMBER(P50),ISNUMBER(O50)),P50/O50*1000,"")</f>
        <v/>
      </c>
      <c r="AP50">
        <f>IF(AND(ISNUMBER(AD50),ISNUMBER(AE50)),LN(AD50/AE50),"")</f>
        <v/>
      </c>
      <c r="AQ50">
        <f>IF(ISNUMBER(AC50),1/AC50,"")</f>
        <v/>
      </c>
    </row>
    <row r="51">
      <c r="Q51">
        <f>IF(AND(ISNUMBER(P51),ISNUMBER(O51)),P51/O51*1000,"")</f>
        <v/>
      </c>
      <c r="AP51">
        <f>IF(AND(ISNUMBER(AD51),ISNUMBER(AE51)),LN(AD51/AE51),"")</f>
        <v/>
      </c>
      <c r="AQ51">
        <f>IF(ISNUMBER(AC51),1/AC51,"")</f>
        <v/>
      </c>
    </row>
    <row r="52">
      <c r="Q52">
        <f>IF(AND(ISNUMBER(P52),ISNUMBER(O52)),P52/O52*1000,"")</f>
        <v/>
      </c>
      <c r="AP52">
        <f>IF(AND(ISNUMBER(AD52),ISNUMBER(AE52)),LN(AD52/AE52),"")</f>
        <v/>
      </c>
      <c r="AQ52">
        <f>IF(ISNUMBER(AC52),1/AC52,"")</f>
        <v/>
      </c>
    </row>
    <row r="53">
      <c r="Q53">
        <f>IF(AND(ISNUMBER(P53),ISNUMBER(O53)),P53/O53*1000,"")</f>
        <v/>
      </c>
      <c r="AP53">
        <f>IF(AND(ISNUMBER(AD53),ISNUMBER(AE53)),LN(AD53/AE53),"")</f>
        <v/>
      </c>
      <c r="AQ53">
        <f>IF(ISNUMBER(AC53),1/AC53,"")</f>
        <v/>
      </c>
    </row>
    <row r="54">
      <c r="Q54">
        <f>IF(AND(ISNUMBER(P54),ISNUMBER(O54)),P54/O54*1000,"")</f>
        <v/>
      </c>
      <c r="AP54">
        <f>IF(AND(ISNUMBER(AD54),ISNUMBER(AE54)),LN(AD54/AE54),"")</f>
        <v/>
      </c>
      <c r="AQ54">
        <f>IF(ISNUMBER(AC54),1/AC54,"")</f>
        <v/>
      </c>
    </row>
    <row r="55">
      <c r="Q55">
        <f>IF(AND(ISNUMBER(P55),ISNUMBER(O55)),P55/O55*1000,"")</f>
        <v/>
      </c>
      <c r="AP55">
        <f>IF(AND(ISNUMBER(AD55),ISNUMBER(AE55)),LN(AD55/AE55),"")</f>
        <v/>
      </c>
      <c r="AQ55">
        <f>IF(ISNUMBER(AC55),1/AC55,"")</f>
        <v/>
      </c>
    </row>
    <row r="56">
      <c r="Q56">
        <f>IF(AND(ISNUMBER(P56),ISNUMBER(O56)),P56/O56*1000,"")</f>
        <v/>
      </c>
      <c r="AP56">
        <f>IF(AND(ISNUMBER(AD56),ISNUMBER(AE56)),LN(AD56/AE56),"")</f>
        <v/>
      </c>
      <c r="AQ56">
        <f>IF(ISNUMBER(AC56),1/AC56,"")</f>
        <v/>
      </c>
    </row>
    <row r="57">
      <c r="Q57">
        <f>IF(AND(ISNUMBER(P57),ISNUMBER(O57)),P57/O57*1000,"")</f>
        <v/>
      </c>
      <c r="AP57">
        <f>IF(AND(ISNUMBER(AD57),ISNUMBER(AE57)),LN(AD57/AE57),"")</f>
        <v/>
      </c>
      <c r="AQ57">
        <f>IF(ISNUMBER(AC57),1/AC57,"")</f>
        <v/>
      </c>
    </row>
    <row r="58">
      <c r="Q58">
        <f>IF(AND(ISNUMBER(P58),ISNUMBER(O58)),P58/O58*1000,"")</f>
        <v/>
      </c>
      <c r="AP58">
        <f>IF(AND(ISNUMBER(AD58),ISNUMBER(AE58)),LN(AD58/AE58),"")</f>
        <v/>
      </c>
      <c r="AQ58">
        <f>IF(ISNUMBER(AC58),1/AC58,"")</f>
        <v/>
      </c>
    </row>
    <row r="59">
      <c r="Q59">
        <f>IF(AND(ISNUMBER(P59),ISNUMBER(O59)),P59/O59*1000,"")</f>
        <v/>
      </c>
      <c r="AP59">
        <f>IF(AND(ISNUMBER(AD59),ISNUMBER(AE59)),LN(AD59/AE59),"")</f>
        <v/>
      </c>
      <c r="AQ59">
        <f>IF(ISNUMBER(AC59),1/AC59,"")</f>
        <v/>
      </c>
    </row>
    <row r="60">
      <c r="Q60">
        <f>IF(AND(ISNUMBER(P60),ISNUMBER(O60)),P60/O60*1000,"")</f>
        <v/>
      </c>
      <c r="AP60">
        <f>IF(AND(ISNUMBER(AD60),ISNUMBER(AE60)),LN(AD60/AE60),"")</f>
        <v/>
      </c>
      <c r="AQ60">
        <f>IF(ISNUMBER(AC60),1/AC60,"")</f>
        <v/>
      </c>
    </row>
    <row r="61">
      <c r="Q61">
        <f>IF(AND(ISNUMBER(P61),ISNUMBER(O61)),P61/O61*1000,"")</f>
        <v/>
      </c>
      <c r="AP61">
        <f>IF(AND(ISNUMBER(AD61),ISNUMBER(AE61)),LN(AD61/AE61),"")</f>
        <v/>
      </c>
      <c r="AQ61">
        <f>IF(ISNUMBER(AC61),1/AC61,"")</f>
        <v/>
      </c>
    </row>
    <row r="62">
      <c r="Q62">
        <f>IF(AND(ISNUMBER(P62),ISNUMBER(O62)),P62/O62*1000,"")</f>
        <v/>
      </c>
      <c r="AP62">
        <f>IF(AND(ISNUMBER(AD62),ISNUMBER(AE62)),LN(AD62/AE62),"")</f>
        <v/>
      </c>
      <c r="AQ62">
        <f>IF(ISNUMBER(AC62),1/AC62,"")</f>
        <v/>
      </c>
    </row>
    <row r="63">
      <c r="Q63">
        <f>IF(AND(ISNUMBER(P63),ISNUMBER(O63)),P63/O63*1000,"")</f>
        <v/>
      </c>
      <c r="AP63">
        <f>IF(AND(ISNUMBER(AD63),ISNUMBER(AE63)),LN(AD63/AE63),"")</f>
        <v/>
      </c>
      <c r="AQ63">
        <f>IF(ISNUMBER(AC63),1/AC63,"")</f>
        <v/>
      </c>
    </row>
    <row r="64">
      <c r="Q64">
        <f>IF(AND(ISNUMBER(P64),ISNUMBER(O64)),P64/O64*1000,"")</f>
        <v/>
      </c>
      <c r="AP64">
        <f>IF(AND(ISNUMBER(AD64),ISNUMBER(AE64)),LN(AD64/AE64),"")</f>
        <v/>
      </c>
      <c r="AQ64">
        <f>IF(ISNUMBER(AC64),1/AC64,"")</f>
        <v/>
      </c>
    </row>
    <row r="65">
      <c r="Q65">
        <f>IF(AND(ISNUMBER(P65),ISNUMBER(O65)),P65/O65*1000,"")</f>
        <v/>
      </c>
      <c r="AP65">
        <f>IF(AND(ISNUMBER(AD65),ISNUMBER(AE65)),LN(AD65/AE65),"")</f>
        <v/>
      </c>
      <c r="AQ65">
        <f>IF(ISNUMBER(AC65),1/AC65,"")</f>
        <v/>
      </c>
    </row>
  </sheetData>
  <dataValidations count="9">
    <dataValidation sqref="C3:C65" showDropDown="0" showInputMessage="0" showErrorMessage="0" allowBlank="1" type="list">
      <formula1>"Incluido,En evaluación,Excluido"</formula1>
    </dataValidation>
    <dataValidation sqref="R3:R65" showDropDown="0" showInputMessage="0" showErrorMessage="0" allowBlank="1" type="list">
      <formula1>"precipitación,temperatura,SPI,SPEI,VCI,PM2.5"</formula1>
    </dataValidation>
    <dataValidation sqref="S3:S65" showDropDown="0" showInputMessage="0" showErrorMessage="0" allowBlank="1" type="list">
      <formula1>"diaria,mensual,estacional,anual,decadal"</formula1>
    </dataValidation>
    <dataValidation sqref="AA3:AA65" showDropDown="0" showInputMessage="0" showErrorMessage="0" allowBlank="1" type="list">
      <formula1>"k-fold aleatoria,leave-one-out,bloques espaciales,estaciones independientes"</formula1>
    </dataValidation>
    <dataValidation sqref="AR3:AR65" showDropDown="0" showInputMessage="0" showErrorMessage="0" allowBlank="1" type="list">
      <formula1>"Bajo,Dudoso,Alto"</formula1>
    </dataValidation>
    <dataValidation sqref="K3:K65" showDropDown="0" showInputMessage="0" showErrorMessage="0" allowBlank="1" type="list">
      <formula1>"0,1"</formula1>
    </dataValidation>
    <dataValidation sqref="Y3:Y65" showDropDown="0" showInputMessage="0" showErrorMessage="0" allowBlank="1" type="list">
      <formula1>"0,1"</formula1>
    </dataValidation>
    <dataValidation sqref="Z3:Z65" showDropDown="0" showInputMessage="0" showErrorMessage="0" allowBlank="1" type="list">
      <formula1>"0,1"</formula1>
    </dataValidation>
    <dataValidation sqref="AS3:AS65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7" customWidth="1" min="3" max="3"/>
    <col width="34" customWidth="1" min="4" max="4"/>
    <col width="11" customWidth="1" min="5" max="5"/>
    <col width="70" customWidth="1" min="6" max="6"/>
  </cols>
  <sheetData>
    <row r="1">
      <c r="A1" s="2" t="inlineStr">
        <is>
          <t>id_estudio</t>
        </is>
      </c>
      <c r="B1" s="2" t="inlineStr">
        <is>
          <t>titulo</t>
        </is>
      </c>
      <c r="C1" s="2" t="inlineStr">
        <is>
          <t>anio</t>
        </is>
      </c>
      <c r="D1" s="2" t="inlineStr">
        <is>
          <t>referencia_doi</t>
        </is>
      </c>
      <c r="E1" s="2" t="inlineStr">
        <is>
          <t>codigo_CE</t>
        </is>
      </c>
      <c r="F1" s="2" t="inlineStr">
        <is>
          <t>motivo</t>
        </is>
      </c>
    </row>
    <row r="2">
      <c r="A2" s="6" t="inlineStr">
        <is>
          <t>zhu2024</t>
        </is>
      </c>
      <c r="B2" s="6" t="inlineStr">
        <is>
          <t>A comparison of statistical and machine learning models for spatio-temporal prediction of ambient air pollutant concentrations in Scotland</t>
        </is>
      </c>
      <c r="C2" s="6" t="n">
        <v>2024</v>
      </c>
      <c r="D2" s="6" t="inlineStr">
        <is>
          <t>https://doi.org/10.1007/s10651-024-00635-5</t>
        </is>
      </c>
      <c r="E2" s="6" t="inlineStr">
        <is>
          <t>CE6</t>
        </is>
      </c>
      <c r="F2" s="6" t="inlineStr">
        <is>
          <t>Escocia completa, sin relieve montañoso declarado; además, el modelo bayesiano SPgp no figura en CI4.</t>
        </is>
      </c>
    </row>
    <row r="3">
      <c r="A3" s="6" t="inlineStr">
        <is>
          <t>manaf2026</t>
        </is>
      </c>
      <c r="B3" s="6" t="inlineStr">
        <is>
          <t>Integrating random forest-based regression kriging for analyzing spatial variability of rainfall in arid and semi-arid regions</t>
        </is>
      </c>
      <c r="C3" s="6" t="n">
        <v>2026</v>
      </c>
      <c r="D3" s="6" t="inlineStr">
        <is>
          <t>https://doi.org/10.1038/s41598-026-36074-4</t>
        </is>
      </c>
      <c r="E3" s="6" t="inlineStr">
        <is>
          <t>CE7</t>
        </is>
      </c>
      <c r="F3" s="6" t="inlineStr">
        <is>
          <t>Las 42 "estaciones" son celdas de NASA POWER (producto grillado); solo compara híbridos RK entre sí.</t>
        </is>
      </c>
    </row>
    <row r="4">
      <c r="A4" s="6" t="inlineStr">
        <is>
          <t>noor2023</t>
        </is>
      </c>
      <c r="B4" s="6" t="inlineStr">
        <is>
          <t>Combining APHRODITE Rain Gauges-Based Precipitation with Downscaled-TRMM Data to Translate High-Resolution Precipitation Estimates in the Indus Basin</t>
        </is>
      </c>
      <c r="C4" s="6" t="n">
        <v>2023</v>
      </c>
      <c r="D4" s="6" t="inlineStr">
        <is>
          <t>https://doi.org/10.3390/rs15020318</t>
        </is>
      </c>
      <c r="E4" s="6" t="inlineStr">
        <is>
          <t>CE7</t>
        </is>
      </c>
      <c r="F4" s="6" t="inlineStr">
        <is>
          <t>MGWR frente a RF se evalúa contra la malla TRMM, no contra estaciones.</t>
        </is>
      </c>
    </row>
    <row r="5">
      <c r="A5" s="6" t="inlineStr">
        <is>
          <t>zhao2021</t>
        </is>
      </c>
      <c r="B5" s="6" t="inlineStr">
        <is>
          <t>(ver ficha v2)</t>
        </is>
      </c>
      <c r="C5" s="6" t="n">
        <v>2021</v>
      </c>
      <c r="D5" s="6" t="inlineStr">
        <is>
          <t>https://doi.org/10.3390/rs13020234</t>
        </is>
      </c>
      <c r="E5" s="6" t="inlineStr">
        <is>
          <t>CE4</t>
        </is>
      </c>
      <c r="F5" s="6" t="inlineStr">
        <is>
          <t>RF frente a RF + kriging de residuos; sin brazo geoestadístico independiente.</t>
        </is>
      </c>
    </row>
    <row r="6">
      <c r="A6" s="6" t="inlineStr">
        <is>
          <t>wang2024</t>
        </is>
      </c>
      <c r="B6" s="6" t="inlineStr">
        <is>
          <t>Mapping 30-m Resolution Bioclimatic Variables During 1991-2020 Climate Normals for Hubei Province, the Yangtze River Middle Reaches</t>
        </is>
      </c>
      <c r="C6" s="6" t="n">
        <v>2024</v>
      </c>
      <c r="D6" s="6" t="inlineStr">
        <is>
          <t>https://doi.org/10.1109/jstars.2024.3358829</t>
        </is>
      </c>
      <c r="E6" s="6" t="inlineStr">
        <is>
          <t>CE4</t>
        </is>
      </c>
      <c r="F6" s="6" t="inlineStr">
        <is>
          <t>RF frente a RF + KO (calibración GDA): el kriging es un paso interno.</t>
        </is>
      </c>
    </row>
    <row r="7">
      <c r="A7" s="6" t="inlineStr">
        <is>
          <t>liu2026</t>
        </is>
      </c>
      <c r="B7" s="6" t="inlineStr">
        <is>
          <t>Integration of Deep Learning with Geographical Discrepancy Analysis for IMERG Precipitation Fusion: Application to Flash Flood Simulation</t>
        </is>
      </c>
      <c r="C7" s="6" t="n">
        <v>2026</v>
      </c>
      <c r="D7" s="6" t="inlineStr">
        <is>
          <t>https://doi.org/10.1007/s11269-026-04881-z</t>
        </is>
      </c>
      <c r="E7" s="6" t="inlineStr">
        <is>
          <t>CE4</t>
        </is>
      </c>
      <c r="F7" s="6" t="inlineStr">
        <is>
          <t>CNN-BiLSTM con kriging GDA de los residuos; sin brazo geoestadístico propio.</t>
        </is>
      </c>
    </row>
    <row r="8">
      <c r="A8" s="6" t="inlineStr">
        <is>
          <t>luo2026</t>
        </is>
      </c>
      <c r="B8" s="6" t="inlineStr">
        <is>
          <t>Improving the Spatiotemporal Resolution of Satellite Remote Sensing Precipitation in Complex Terrain - Based on the Random Forest Method</t>
        </is>
      </c>
      <c r="C8" s="6" t="n">
        <v>2026</v>
      </c>
      <c r="D8" s="6" t="inlineStr">
        <is>
          <t>https://doi.org/10.1109/jstars.2026.3674178</t>
        </is>
      </c>
      <c r="E8" s="6" t="inlineStr">
        <is>
          <t>CE4</t>
        </is>
      </c>
      <c r="F8" s="6" t="inlineStr">
        <is>
          <t>Marco RF-CK: el cokriging es la etapa de calibración del RF.</t>
        </is>
      </c>
    </row>
    <row r="9">
      <c r="A9" s="6" t="inlineStr">
        <is>
          <t>wang2025</t>
        </is>
      </c>
      <c r="B9" s="6" t="inlineStr">
        <is>
          <t>Reconstruction of high-precision gridded precipitation dataset in the alpine cold regions of the Qilian Mountains</t>
        </is>
      </c>
      <c r="C9" s="6" t="n">
        <v>2025</v>
      </c>
      <c r="D9" s="6" t="inlineStr">
        <is>
          <t>https://doi.org/10.1016/j.atmosres.2025.108387</t>
        </is>
      </c>
      <c r="E9" s="6" t="inlineStr">
        <is>
          <t>CE4</t>
        </is>
      </c>
      <c r="F9" s="6" t="inlineStr">
        <is>
          <t>GWR integrada con CNN-BiLSTM en un solo marco.</t>
        </is>
      </c>
    </row>
    <row r="10">
      <c r="A10" s="6" t="inlineStr">
        <is>
          <t>he2026</t>
        </is>
      </c>
      <c r="B10" s="6" t="inlineStr">
        <is>
          <t>Spatiotemporal Variation of Air Temperature in the Dry Valleys of Southwest China from 1990 to 2020 Based on a GWR–XGBoost Downscaling Method</t>
        </is>
      </c>
      <c r="C10" s="6" t="n">
        <v>2026</v>
      </c>
      <c r="D10" s="6" t="inlineStr">
        <is>
          <t>(sin DOI en OpenAlex)</t>
        </is>
      </c>
      <c r="E10" s="6" t="inlineStr">
        <is>
          <t>CE4</t>
        </is>
      </c>
      <c r="F10" s="6" t="inlineStr">
        <is>
          <t>Método híbrido GWR–XGBoost, sin brazos independientes.</t>
        </is>
      </c>
    </row>
    <row r="11">
      <c r="A11" s="6" t="inlineStr">
        <is>
          <t>rfgwrk2026</t>
        </is>
      </c>
      <c r="B11" s="6" t="inlineStr">
        <is>
          <t>(autor y título por confirmar)</t>
        </is>
      </c>
      <c r="C11" s="6" t="n">
        <v>2026</v>
      </c>
      <c r="D11" s="6" t="inlineStr">
        <is>
          <t>(buscar en Scopus)</t>
        </is>
      </c>
      <c r="E11" s="6" t="inlineStr">
        <is>
          <t>CE4</t>
        </is>
      </c>
      <c r="F11" s="6" t="inlineStr">
        <is>
          <t>Híbrido RF-GWR-K: GWR y RK son pasos del mismo modelo.</t>
        </is>
      </c>
    </row>
    <row r="12">
      <c r="A12" s="6" t="inlineStr">
        <is>
          <t>he2023</t>
        </is>
      </c>
      <c r="B12" s="6" t="inlineStr">
        <is>
          <t>A multiple-step scheme for the improvement of satellite precipitation products over the Tibetan Plateau from multisource information</t>
        </is>
      </c>
      <c r="C12" s="6" t="n">
        <v>2023</v>
      </c>
      <c r="D12" s="6" t="inlineStr">
        <is>
          <t>https://doi.org/10.1016/j.scitotenv.2023.162378</t>
        </is>
      </c>
      <c r="E12" s="6" t="inlineStr">
        <is>
          <t>CE3</t>
        </is>
      </c>
      <c r="F12" s="6" t="inlineStr">
        <is>
          <t>Solo GWR y corrección de volúmenes; sin brazo de AA.</t>
        </is>
      </c>
    </row>
    <row r="13">
      <c r="A13" s="6" t="inlineStr">
        <is>
          <t>zhejiang2023</t>
        </is>
      </c>
      <c r="B13" s="6" t="inlineStr">
        <is>
          <t>Spatial Estimation and Impact Factors of Summer Afternoon Precipitation in Zhejiang Province</t>
        </is>
      </c>
      <c r="C13" s="6" t="n">
        <v>2023</v>
      </c>
      <c r="D13" s="6" t="inlineStr">
        <is>
          <t>https://www.scopus.com/pages/publications/85187359624</t>
        </is>
      </c>
      <c r="E13" s="6" t="inlineStr">
        <is>
          <t>Por definir</t>
        </is>
      </c>
      <c r="F13" s="6" t="inlineStr">
        <is>
          <t>GWR frente a GNNWR (red neuronal) con 74 estaciones. No figura en la matriz: asignar código CE o incluir.</t>
        </is>
      </c>
    </row>
    <row r="14">
      <c r="A14" s="6" t="inlineStr">
        <is>
          <t>india2026</t>
        </is>
      </c>
      <c r="B14" s="6" t="inlineStr">
        <is>
          <t>Estimation of location-specific precipitation using Deep Neural Networks</t>
        </is>
      </c>
      <c r="C14" s="6" t="n">
        <v>2026</v>
      </c>
      <c r="D14" s="6" t="inlineStr">
        <is>
          <t>https://www.scopus.com/pages/publications/105033471949</t>
        </is>
      </c>
      <c r="E14" s="6" t="inlineStr">
        <is>
          <t>Por definir</t>
        </is>
      </c>
      <c r="F14" s="6" t="inlineStr">
        <is>
          <t>DNN frente a kriging. Posible CE5 (validación temporal) o CE6 (área); confirmar.</t>
        </is>
      </c>
    </row>
    <row r="15">
      <c r="A15" s="6" t="inlineStr">
        <is>
          <t>noreste2023</t>
        </is>
      </c>
      <c r="B15" s="6" t="inlineStr">
        <is>
          <t>Spatial Reconstruction of Quantitative Precipitation Estimates Derived from Fengyun-2G Geostationary Satellite in Northeast China</t>
        </is>
      </c>
      <c r="C15" s="6" t="n">
        <v>2023</v>
      </c>
      <c r="D15" s="6" t="inlineStr">
        <is>
          <t>https://www.scopus.com/pages/publications/85176331513</t>
        </is>
      </c>
      <c r="E15" s="6" t="inlineStr">
        <is>
          <t>Por definir</t>
        </is>
      </c>
      <c r="F15" s="6" t="inlineStr">
        <is>
          <t>GWR y RF validados con 80 pluviómetros. Posible CE6 (relieve) o CE4; confirmar.</t>
        </is>
      </c>
    </row>
    <row r="16">
      <c r="A16" s="6" t="inlineStr">
        <is>
          <t>yangtze2021</t>
        </is>
      </c>
      <c r="B16" s="6" t="inlineStr">
        <is>
          <t>A New Downscaling-Calibration Procedure for TRMM Precipitation Data over Yangtze River Economic Belt Region Based on a Multivariate Adaptive Regression Spline Model</t>
        </is>
      </c>
      <c r="C16" s="6" t="n">
        <v>2021</v>
      </c>
      <c r="D16" s="6" t="inlineStr">
        <is>
          <t>https://www.scopus.com/pages/publications/85112463328</t>
        </is>
      </c>
      <c r="E16" s="6" t="inlineStr">
        <is>
          <t>Por definir</t>
        </is>
      </c>
      <c r="F16" s="6" t="inlineStr">
        <is>
          <t>GWR frente a RF (y MARS). Posible CE6 por la extensión del área; confirmar.</t>
        </is>
      </c>
    </row>
    <row r="18">
      <c r="A18" s="7" t="inlineStr">
        <is>
          <t>Nota</t>
        </is>
      </c>
      <c r="B18" s="8" t="inlineStr">
        <is>
          <t>Estudios de la ficha v2 excluidos al aplicar CE1–CE9 (Criterios_inclusion_exclusion.pdf); las filas "Por definir" son registros de la recolección que no están en la matriz y deben recibir un código. Los demás registros excluidos de la recolección se cuentan en el flujo de la hoja Criterios.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80" customWidth="1" min="4" max="4"/>
  </cols>
  <sheetData>
    <row r="1">
      <c r="A1" s="5" t="inlineStr">
        <is>
          <t>Campo</t>
        </is>
      </c>
      <c r="B1" s="5" t="inlineStr">
        <is>
          <t>Bloque</t>
        </is>
      </c>
      <c r="C1" s="5" t="inlineStr">
        <is>
          <t>Tipo</t>
        </is>
      </c>
      <c r="D1" s="5" t="inlineStr">
        <is>
          <t>Regla de codificación</t>
        </is>
      </c>
    </row>
    <row r="2">
      <c r="A2" t="inlineStr">
        <is>
          <t>id_estudio</t>
        </is>
      </c>
      <c r="B2" t="inlineStr">
        <is>
          <t>Identificación</t>
        </is>
      </c>
      <c r="C2" t="inlineStr">
        <is>
          <t>texto</t>
        </is>
      </c>
      <c r="D2" t="inlineStr">
        <is>
          <t>Primer autor y año en minúscula (dura2024)</t>
        </is>
      </c>
    </row>
    <row r="3">
      <c r="A3" t="inlineStr">
        <is>
          <t>id_comparacion</t>
        </is>
      </c>
      <c r="B3" t="inlineStr">
        <is>
          <t>Identificación</t>
        </is>
      </c>
      <c r="C3" t="inlineStr">
        <is>
          <t>texto</t>
        </is>
      </c>
      <c r="D3" t="inlineStr">
        <is>
          <t>id_estudio + sufijo por comparación (dura2024_a)</t>
        </is>
      </c>
    </row>
    <row r="4">
      <c r="A4" t="inlineStr">
        <is>
          <t>estado</t>
        </is>
      </c>
      <c r="B4" t="inlineStr">
        <is>
          <t>Identificación</t>
        </is>
      </c>
      <c r="C4" t="inlineStr">
        <is>
          <t>lista</t>
        </is>
      </c>
      <c r="D4" t="inlineStr">
        <is>
          <t>Incluido / En evaluación / Excluido. Los excluidos van en la hoja Excluidos con su código CE1–CE9.</t>
        </is>
      </c>
    </row>
    <row r="5">
      <c r="A5" t="inlineStr">
        <is>
          <t>titulo</t>
        </is>
      </c>
      <c r="B5" t="inlineStr">
        <is>
          <t>Identificación</t>
        </is>
      </c>
      <c r="C5" t="inlineStr">
        <is>
          <t>texto</t>
        </is>
      </c>
      <c r="D5" t="inlineStr">
        <is>
          <t>Título original</t>
        </is>
      </c>
    </row>
    <row r="6">
      <c r="A6" t="inlineStr">
        <is>
          <t>anio</t>
        </is>
      </c>
      <c r="B6" t="inlineStr">
        <is>
          <t>Identificación</t>
        </is>
      </c>
      <c r="C6" t="inlineStr">
        <is>
          <t>número</t>
        </is>
      </c>
      <c r="D6" t="inlineStr">
        <is>
          <t>Año de publicación</t>
        </is>
      </c>
    </row>
    <row r="7">
      <c r="A7" t="inlineStr">
        <is>
          <t>referencia_doi</t>
        </is>
      </c>
      <c r="B7" t="inlineStr">
        <is>
          <t>Identificación</t>
        </is>
      </c>
      <c r="C7" t="inlineStr">
        <is>
          <t>texto</t>
        </is>
      </c>
      <c r="D7" t="inlineStr">
        <is>
          <t>DOI completo o enlace Scopus</t>
        </is>
      </c>
    </row>
    <row r="8">
      <c r="A8" t="inlineStr">
        <is>
          <t>extractor</t>
        </is>
      </c>
      <c r="B8" t="inlineStr">
        <is>
          <t>Identificación</t>
        </is>
      </c>
      <c r="C8" t="inlineStr">
        <is>
          <t>texto</t>
        </is>
      </c>
      <c r="D8" t="inlineStr">
        <is>
          <t>Iniciales del autor que extrajo: YDLL, KXCZ, OELM, KPPM.</t>
        </is>
      </c>
    </row>
    <row r="9">
      <c r="A9" t="inlineStr">
        <is>
          <t>fecha_extraccion</t>
        </is>
      </c>
      <c r="B9" t="inlineStr">
        <is>
          <t>Identificación</t>
        </is>
      </c>
      <c r="C9" t="inlineStr">
        <is>
          <t>fecha</t>
        </is>
      </c>
      <c r="D9" t="inlineStr">
        <is>
          <t>dd/mm/aaaa</t>
        </is>
      </c>
    </row>
    <row r="10">
      <c r="A10" t="inlineStr">
        <is>
          <t>pais</t>
        </is>
      </c>
      <c r="B10" t="inlineStr">
        <is>
          <t>Contexto</t>
        </is>
      </c>
      <c r="C10" t="inlineStr">
        <is>
          <t>texto</t>
        </is>
      </c>
      <c r="D10" t="inlineStr">
        <is>
          <t>País</t>
        </is>
      </c>
    </row>
    <row r="11">
      <c r="A11" t="inlineStr">
        <is>
          <t>area</t>
        </is>
      </c>
      <c r="B11" t="inlineStr">
        <is>
          <t>Contexto</t>
        </is>
      </c>
      <c r="C11" t="inlineStr">
        <is>
          <t>texto</t>
        </is>
      </c>
      <c r="D11" t="inlineStr">
        <is>
          <t>Cuenca, ciudad o cordillera</t>
        </is>
      </c>
    </row>
    <row r="12">
      <c r="A12" t="inlineStr">
        <is>
          <t>estrato_andino</t>
        </is>
      </c>
      <c r="B12" t="inlineStr">
        <is>
          <t>Contexto</t>
        </is>
      </c>
      <c r="C12" t="inlineStr">
        <is>
          <t>0/1</t>
        </is>
      </c>
      <c r="D12" t="inlineStr">
        <is>
          <t>1 si está en los Andes tropicales o el Altiplano</t>
        </is>
      </c>
    </row>
    <row r="13">
      <c r="A13" t="inlineStr">
        <is>
          <t>altitud_min</t>
        </is>
      </c>
      <c r="B13" t="inlineStr">
        <is>
          <t>Contexto</t>
        </is>
      </c>
      <c r="C13" t="inlineStr">
        <is>
          <t>número (m)</t>
        </is>
      </c>
      <c r="D13" t="inlineStr">
        <is>
          <t>Del texto o figura; si falta, estimar del MDE y anotar 'imputado'</t>
        </is>
      </c>
    </row>
    <row r="14">
      <c r="A14" t="inlineStr">
        <is>
          <t>altitud_max</t>
        </is>
      </c>
      <c r="B14" t="inlineStr">
        <is>
          <t>Contexto</t>
        </is>
      </c>
      <c r="C14" t="inlineStr">
        <is>
          <t>número (m)</t>
        </is>
      </c>
    </row>
    <row r="15">
      <c r="A15" t="inlineStr">
        <is>
          <t>altitud_media</t>
        </is>
      </c>
      <c r="B15" t="inlineStr">
        <is>
          <t>Contexto</t>
        </is>
      </c>
      <c r="C15" t="inlineStr">
        <is>
          <t>número (m)</t>
        </is>
      </c>
    </row>
    <row r="16">
      <c r="A16" t="inlineStr">
        <is>
          <t>area_km2</t>
        </is>
      </c>
      <c r="B16" t="inlineStr">
        <is>
          <t>Red</t>
        </is>
      </c>
      <c r="C16" t="inlineStr">
        <is>
          <t>número</t>
        </is>
      </c>
      <c r="D16" t="inlineStr">
        <is>
          <t>Superficie del dominio</t>
        </is>
      </c>
    </row>
    <row r="17">
      <c r="A17" t="inlineStr">
        <is>
          <t>n_estaciones</t>
        </is>
      </c>
      <c r="B17" t="inlineStr">
        <is>
          <t>Red</t>
        </is>
      </c>
      <c r="C17" t="inlineStr">
        <is>
          <t>número</t>
        </is>
      </c>
      <c r="D17" t="inlineStr">
        <is>
          <t>Estaciones usadas en ajuste y validación</t>
        </is>
      </c>
    </row>
    <row r="18">
      <c r="A18" t="inlineStr">
        <is>
          <t>densidad</t>
        </is>
      </c>
      <c r="B18" t="inlineStr">
        <is>
          <t>Red</t>
        </is>
      </c>
      <c r="C18" t="inlineStr">
        <is>
          <t>fórmula</t>
        </is>
      </c>
      <c r="D18" t="inlineStr">
        <is>
          <t>n_estaciones ÷ area_km2 × 1000 (se calcula sola)</t>
        </is>
      </c>
    </row>
    <row r="19">
      <c r="A19" t="inlineStr">
        <is>
          <t>variable</t>
        </is>
      </c>
      <c r="B19" t="inlineStr">
        <is>
          <t>Datos</t>
        </is>
      </c>
      <c r="C19" t="inlineStr">
        <is>
          <t>lista</t>
        </is>
      </c>
      <c r="D19" t="inlineStr">
        <is>
          <t>precipitación, temperatura, SPI, SPEI, VCI, PM2.5</t>
        </is>
      </c>
    </row>
    <row r="20">
      <c r="A20" t="inlineStr">
        <is>
          <t>escala_temporal</t>
        </is>
      </c>
      <c r="B20" t="inlineStr">
        <is>
          <t>Datos</t>
        </is>
      </c>
      <c r="C20" t="inlineStr">
        <is>
          <t>lista</t>
        </is>
      </c>
      <c r="D20" t="inlineStr">
        <is>
          <t>diaria, mensual, estacional, anual, decadal</t>
        </is>
      </c>
    </row>
    <row r="21">
      <c r="A21" t="inlineStr">
        <is>
          <t>periodo</t>
        </is>
      </c>
      <c r="B21" t="inlineStr">
        <is>
          <t>Datos</t>
        </is>
      </c>
      <c r="C21" t="inlineStr">
        <is>
          <t>texto</t>
        </is>
      </c>
      <c r="D21" t="inlineStr">
        <is>
          <t>Años de la serie (1982–2018)</t>
        </is>
      </c>
    </row>
    <row r="22">
      <c r="A22" t="inlineStr">
        <is>
          <t>covariables</t>
        </is>
      </c>
      <c r="B22" t="inlineStr">
        <is>
          <t>Datos</t>
        </is>
      </c>
      <c r="C22" t="inlineStr">
        <is>
          <t>texto</t>
        </is>
      </c>
      <c r="D22" t="inlineStr">
        <is>
          <t>elevación, pendiente, distancia al mar, NDVI, LST…</t>
        </is>
      </c>
    </row>
    <row r="23">
      <c r="A23" t="inlineStr">
        <is>
          <t>producto_satelital</t>
        </is>
      </c>
      <c r="B23" t="inlineStr">
        <is>
          <t>Datos</t>
        </is>
      </c>
      <c r="C23" t="inlineStr">
        <is>
          <t>texto</t>
        </is>
      </c>
      <c r="D23" t="inlineStr">
        <is>
          <t>CHIRPS, IMERG, ERA5, MODIS o ninguno</t>
        </is>
      </c>
    </row>
    <row r="24">
      <c r="A24" t="inlineStr">
        <is>
          <t>metodo_geo</t>
        </is>
      </c>
      <c r="B24" t="inlineStr">
        <is>
          <t>Métodos</t>
        </is>
      </c>
      <c r="C24" t="inlineStr">
        <is>
          <t>lista</t>
        </is>
      </c>
      <c r="D24" t="inlineStr">
        <is>
          <t>KO, KU, KED, RK, CoK, GWR, bayesiano espacial</t>
        </is>
      </c>
    </row>
    <row r="25">
      <c r="A25" t="inlineStr">
        <is>
          <t>metodo_aa</t>
        </is>
      </c>
      <c r="B25" t="inlineStr">
        <is>
          <t>Métodos</t>
        </is>
      </c>
      <c r="C25" t="inlineStr">
        <is>
          <t>lista</t>
        </is>
      </c>
      <c r="D25" t="inlineStr">
        <is>
          <t>RF, XGBoost, SVM, RNA, otro</t>
        </is>
      </c>
    </row>
    <row r="26">
      <c r="A26" t="inlineStr">
        <is>
          <t>hibrido</t>
        </is>
      </c>
      <c r="B26" t="inlineStr">
        <is>
          <t>Métodos</t>
        </is>
      </c>
      <c r="C26" t="inlineStr">
        <is>
          <t>0/1</t>
        </is>
      </c>
      <c r="D26" t="inlineStr">
        <is>
          <t>1 si el modelo de AA incorpora una interpolación por kriging (covariable o corrección de residuos); estas comparaciones van solo a sensibilidad.</t>
        </is>
      </c>
    </row>
    <row r="27">
      <c r="A27" t="inlineStr">
        <is>
          <t>covariables_equivalentes</t>
        </is>
      </c>
      <c r="B27" t="inlineStr">
        <is>
          <t>Métodos</t>
        </is>
      </c>
      <c r="C27" t="inlineStr">
        <is>
          <t>0/1</t>
        </is>
      </c>
      <c r="D27" t="inlineStr">
        <is>
          <t>1 si ambos brazos usan las mismas covariables</t>
        </is>
      </c>
    </row>
    <row r="28">
      <c r="A28" t="inlineStr">
        <is>
          <t>esquema_validacion</t>
        </is>
      </c>
      <c r="B28" t="inlineStr">
        <is>
          <t>Validación</t>
        </is>
      </c>
      <c r="C28" t="inlineStr">
        <is>
          <t>lista</t>
        </is>
      </c>
      <c r="D28" t="inlineStr">
        <is>
          <t>k-fold aleatoria, leave-one-out, bloques espaciales, estaciones independientes</t>
        </is>
      </c>
    </row>
    <row r="29">
      <c r="A29" t="inlineStr">
        <is>
          <t>k_o_n_bloques</t>
        </is>
      </c>
      <c r="B29" t="inlineStr">
        <is>
          <t>Validación</t>
        </is>
      </c>
      <c r="C29" t="inlineStr">
        <is>
          <t>número</t>
        </is>
      </c>
      <c r="D29" t="inlineStr">
        <is>
          <t>Número de particiones</t>
        </is>
      </c>
    </row>
    <row r="30">
      <c r="A30" t="inlineStr">
        <is>
          <t>n_validacion</t>
        </is>
      </c>
      <c r="B30" t="inlineStr">
        <is>
          <t>Validación</t>
        </is>
      </c>
      <c r="C30" t="inlineStr">
        <is>
          <t>número</t>
        </is>
      </c>
      <c r="D30" t="inlineStr">
        <is>
          <t>Observaciones o estaciones de evaluación</t>
        </is>
      </c>
    </row>
    <row r="31">
      <c r="A31" t="inlineStr">
        <is>
          <t>rmse_geo</t>
        </is>
      </c>
      <c r="B31" t="inlineStr">
        <is>
          <t>Resultados</t>
        </is>
      </c>
      <c r="C31" t="inlineStr">
        <is>
          <t>número</t>
        </is>
      </c>
      <c r="D31" t="inlineStr">
        <is>
          <t>Unidades originales</t>
        </is>
      </c>
    </row>
    <row r="32">
      <c r="A32" t="inlineStr">
        <is>
          <t>rmse_aa</t>
        </is>
      </c>
      <c r="B32" t="inlineStr">
        <is>
          <t>Resultados</t>
        </is>
      </c>
      <c r="C32" t="inlineStr">
        <is>
          <t>número</t>
        </is>
      </c>
      <c r="D32" t="inlineStr">
        <is>
          <t>Unidades originales</t>
        </is>
      </c>
    </row>
    <row r="33">
      <c r="A33" t="inlineStr">
        <is>
          <t>unidad</t>
        </is>
      </c>
      <c r="B33" t="inlineStr">
        <is>
          <t>Resultados</t>
        </is>
      </c>
      <c r="C33" t="inlineStr">
        <is>
          <t>texto</t>
        </is>
      </c>
      <c r="D33" t="inlineStr">
        <is>
          <t>mm/día, °C, μg/m³…</t>
        </is>
      </c>
    </row>
    <row r="34">
      <c r="A34" t="inlineStr">
        <is>
          <t>mae_geo</t>
        </is>
      </c>
      <c r="B34" t="inlineStr">
        <is>
          <t>Resultados</t>
        </is>
      </c>
      <c r="C34" t="inlineStr">
        <is>
          <t>número</t>
        </is>
      </c>
    </row>
    <row r="35">
      <c r="A35" t="inlineStr">
        <is>
          <t>mae_aa</t>
        </is>
      </c>
      <c r="B35" t="inlineStr">
        <is>
          <t>Resultados</t>
        </is>
      </c>
      <c r="C35" t="inlineStr">
        <is>
          <t>número</t>
        </is>
      </c>
    </row>
    <row r="36">
      <c r="A36" t="inlineStr">
        <is>
          <t>r2_geo</t>
        </is>
      </c>
      <c r="B36" t="inlineStr">
        <is>
          <t>Resultados</t>
        </is>
      </c>
      <c r="C36" t="inlineStr">
        <is>
          <t>número</t>
        </is>
      </c>
    </row>
    <row r="37">
      <c r="A37" t="inlineStr">
        <is>
          <t>r2_aa</t>
        </is>
      </c>
      <c r="B37" t="inlineStr">
        <is>
          <t>Resultados</t>
        </is>
      </c>
      <c r="C37" t="inlineStr">
        <is>
          <t>número</t>
        </is>
      </c>
    </row>
    <row r="38">
      <c r="A38" t="inlineStr">
        <is>
          <t>kge_geo</t>
        </is>
      </c>
      <c r="B38" t="inlineStr">
        <is>
          <t>Resultados</t>
        </is>
      </c>
      <c r="C38" t="inlineStr">
        <is>
          <t>número</t>
        </is>
      </c>
    </row>
    <row r="39">
      <c r="A39" t="inlineStr">
        <is>
          <t>kge_aa</t>
        </is>
      </c>
      <c r="B39" t="inlineStr">
        <is>
          <t>Resultados</t>
        </is>
      </c>
      <c r="C39" t="inlineStr">
        <is>
          <t>número</t>
        </is>
      </c>
    </row>
    <row r="40">
      <c r="A40" t="inlineStr">
        <is>
          <t>sesgo_pct_geo</t>
        </is>
      </c>
      <c r="B40" t="inlineStr">
        <is>
          <t>Resultados</t>
        </is>
      </c>
      <c r="C40" t="inlineStr">
        <is>
          <t>%</t>
        </is>
      </c>
    </row>
    <row r="41">
      <c r="A41" t="inlineStr">
        <is>
          <t>sesgo_pct_aa</t>
        </is>
      </c>
      <c r="B41" t="inlineStr">
        <is>
          <t>Resultados</t>
        </is>
      </c>
      <c r="C41" t="inlineStr">
        <is>
          <t>%</t>
        </is>
      </c>
    </row>
    <row r="42">
      <c r="A42" t="inlineStr">
        <is>
          <t>cobertura_ic</t>
        </is>
      </c>
      <c r="B42" t="inlineStr">
        <is>
          <t>Resultados</t>
        </is>
      </c>
      <c r="C42" t="inlineStr">
        <is>
          <t>%</t>
        </is>
      </c>
      <c r="D42" t="inlineStr">
        <is>
          <t>Cobertura empírica de los intervalos de predicción</t>
        </is>
      </c>
    </row>
    <row r="43">
      <c r="A43" t="inlineStr">
        <is>
          <t>ln_ratio</t>
        </is>
      </c>
      <c r="B43" t="inlineStr">
        <is>
          <t>Efecto</t>
        </is>
      </c>
      <c r="C43" t="inlineStr">
        <is>
          <t>fórmula</t>
        </is>
      </c>
      <c r="D43" t="inlineStr">
        <is>
          <t>ln(rmse_geo / rmse_aa); positivo favorece al AA. Si el estudio reporta un RMSE por periodo, se fija un par (menor RMSE medio aritmético) y se registra la media de los ln por periodo como valor.</t>
        </is>
      </c>
    </row>
    <row r="44">
      <c r="A44" t="inlineStr">
        <is>
          <t>var_ln_ratio</t>
        </is>
      </c>
      <c r="B44" t="inlineStr">
        <is>
          <t>Efecto</t>
        </is>
      </c>
      <c r="C44" t="inlineStr">
        <is>
          <t>fórmula</t>
        </is>
      </c>
      <c r="D44" t="inlineStr">
        <is>
          <t>Varianza de trabajo (1 − ρ)/n_validacion con ρ = 0,5 (sensibilidad con ρ = 0 y 0,8). Reemplaza la aproximación 1/n de las versiones anteriores.</t>
        </is>
      </c>
    </row>
    <row r="45">
      <c r="A45" t="inlineStr">
        <is>
          <t>riesgo_fuga</t>
        </is>
      </c>
      <c r="B45" t="inlineStr">
        <is>
          <t>Calidad</t>
        </is>
      </c>
      <c r="C45" t="inlineStr">
        <is>
          <t>lista</t>
        </is>
      </c>
      <c r="D45" t="inlineStr">
        <is>
          <t>Bajo / Dudoso / Alto</t>
        </is>
      </c>
    </row>
    <row r="46">
      <c r="A46" t="inlineStr">
        <is>
          <t>reporte_incompleto</t>
        </is>
      </c>
      <c r="B46" t="inlineStr">
        <is>
          <t>Calidad</t>
        </is>
      </c>
      <c r="C46" t="inlineStr">
        <is>
          <t>0/1</t>
        </is>
      </c>
      <c r="D46" t="inlineStr">
        <is>
          <t>1 si hubo que pedir o estimar métricas</t>
        </is>
      </c>
    </row>
    <row r="47">
      <c r="A47" t="inlineStr">
        <is>
          <t>observaciones</t>
        </is>
      </c>
      <c r="B47" t="inlineStr">
        <is>
          <t>Control</t>
        </is>
      </c>
      <c r="C47" t="inlineStr">
        <is>
          <t>texto</t>
        </is>
      </c>
      <c r="D47" t="inlineStr">
        <is>
          <t>Notas del revisor</t>
        </is>
      </c>
    </row>
    <row r="48"/>
    <row r="49">
      <c r="A49" t="inlineStr">
        <is>
          <t>Nota</t>
        </is>
      </c>
      <c r="D49" t="inlineStr">
        <is>
          <t>Valores precargados tomados de los resúmenes o de la ficha del grupo; deben verificarse con el texto completo. Las celdas verdes son estudios incluidos.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0" customWidth="1" min="3" max="3"/>
  </cols>
  <sheetData>
    <row r="1">
      <c r="A1" s="2" t="inlineStr">
        <is>
          <t>Código</t>
        </is>
      </c>
      <c r="B1" s="2" t="inlineStr">
        <is>
          <t>Dimensión / conteo</t>
        </is>
      </c>
      <c r="C1" s="2" t="inlineStr">
        <is>
          <t>Criterio</t>
        </is>
      </c>
    </row>
    <row r="2">
      <c r="A2" s="6" t="inlineStr">
        <is>
          <t>CI1</t>
        </is>
      </c>
      <c r="B2" s="6" t="inlineStr">
        <is>
          <t>Publicación</t>
        </is>
      </c>
      <c r="C2" s="6" t="inlineStr">
        <is>
          <t>Artículo original revisado por pares, 2020–2026, en inglés, español o portugués.</t>
        </is>
      </c>
    </row>
    <row r="3">
      <c r="A3" s="6" t="inlineStr">
        <is>
          <t>CI2</t>
        </is>
      </c>
      <c r="B3" s="6" t="inlineStr">
        <is>
          <t>Variable</t>
        </is>
      </c>
      <c r="C3" s="6" t="inlineStr">
        <is>
          <t>Precipitación, temperatura del aire, índice de sequía (SPI, SPEI, VCI) o PM2.5.</t>
        </is>
      </c>
    </row>
    <row r="4">
      <c r="A4" s="6" t="inlineStr">
        <is>
          <t>CI3</t>
        </is>
      </c>
      <c r="B4" s="6" t="inlineStr">
        <is>
          <t>Tipo de predicción</t>
        </is>
      </c>
      <c r="C4" s="6" t="inlineStr">
        <is>
          <t>Predicción espacial en ubicaciones sin medición, validada con estaciones no usadas en el ajuste.</t>
        </is>
      </c>
    </row>
    <row r="5">
      <c r="A5" s="6" t="inlineStr">
        <is>
          <t>CI4</t>
        </is>
      </c>
      <c r="B5" s="6" t="inlineStr">
        <is>
          <t>Método espacial</t>
        </is>
      </c>
      <c r="C5" s="6" t="inlineStr">
        <is>
          <t>Brazo propio: KO, KU, KED, RK, STRK, CoK, EBK, GWR o MGWR.</t>
        </is>
      </c>
    </row>
    <row r="6">
      <c r="A6" s="6" t="inlineStr">
        <is>
          <t>CI5</t>
        </is>
      </c>
      <c r="B6" s="6" t="inlineStr">
        <is>
          <t>Aprendizaje automático</t>
        </is>
      </c>
      <c r="C6" s="6" t="inlineStr">
        <is>
          <t>Brazo propio: RF, GB (XGBoost, GBDT, LightGBM, CatBoost), SVM, RNA, GPR o M5.</t>
        </is>
      </c>
    </row>
    <row r="7">
      <c r="A7" s="6" t="inlineStr">
        <is>
          <t>CI6</t>
        </is>
      </c>
      <c r="B7" s="6" t="inlineStr">
        <is>
          <t>Comparación</t>
        </is>
      </c>
      <c r="C7" s="6" t="inlineStr">
        <is>
          <t>Ambos brazos en el mismo estudio: misma área, mismos datos y misma validación.</t>
        </is>
      </c>
    </row>
    <row r="8">
      <c r="A8" s="6" t="inlineStr">
        <is>
          <t>CI7</t>
        </is>
      </c>
      <c r="B8" s="6" t="inlineStr">
        <is>
          <t>Población</t>
        </is>
      </c>
      <c r="C8" s="6" t="inlineStr">
        <is>
          <t>Área subnacional con relieve montañoso declarado o desnivel ≥ 1000 m.</t>
        </is>
      </c>
    </row>
    <row r="9">
      <c r="A9" s="6" t="inlineStr">
        <is>
          <t>CI8</t>
        </is>
      </c>
      <c r="B9" s="6" t="inlineStr">
        <is>
          <t>Resultado</t>
        </is>
      </c>
      <c r="C9" s="6" t="inlineStr">
        <is>
          <t>Métrica de error para ambos brazos (RMSE de preferencia).</t>
        </is>
      </c>
    </row>
    <row r="10">
      <c r="A10" s="6" t="inlineStr">
        <is>
          <t>CE1</t>
        </is>
      </c>
      <c r="B10" s="6" t="inlineStr">
        <is>
          <t>Excluidos: 69</t>
        </is>
      </c>
      <c r="C10" s="6" t="inlineStr">
        <is>
          <t>Publicado antes de 2020.</t>
        </is>
      </c>
    </row>
    <row r="11">
      <c r="A11" s="6" t="inlineStr">
        <is>
          <t>CE2</t>
        </is>
      </c>
      <c r="B11" s="6" t="inlineStr">
        <is>
          <t>Excluidos: 53</t>
        </is>
      </c>
      <c r="C11" s="6" t="inlineStr">
        <is>
          <t>Sin método espacial: solo AA, regresión, PRISM, ANUSPLIN, IDW o productos grillados.</t>
        </is>
      </c>
    </row>
    <row r="12">
      <c r="A12" s="6" t="inlineStr">
        <is>
          <t>CE3</t>
        </is>
      </c>
      <c r="B12" s="6" t="inlineStr">
        <is>
          <t>Excluidos: 31</t>
        </is>
      </c>
      <c r="C12" s="6" t="inlineStr">
        <is>
          <t>Sin brazo de AA (GAM y regresión lineal múltiple no cuentan como AA).</t>
        </is>
      </c>
    </row>
    <row r="13">
      <c r="A13" s="6" t="inlineStr">
        <is>
          <t>CE4</t>
        </is>
      </c>
      <c r="B13" s="6" t="inlineStr">
        <is>
          <t>Excluidos: 17</t>
        </is>
      </c>
      <c r="C13" s="6" t="inlineStr">
        <is>
          <t>Kriging o GWR solo como paso interno de un híbrido, sin brazo independiente.</t>
        </is>
      </c>
    </row>
    <row r="14">
      <c r="A14" s="6" t="inlineStr">
        <is>
          <t>CE5</t>
        </is>
      </c>
      <c r="B14" s="6" t="inlineStr">
        <is>
          <t>Excluidos: 30</t>
        </is>
      </c>
      <c r="C14" s="6" t="inlineStr">
        <is>
          <t>Pronóstico temporal, relleno de datos, clasificación o tendencias.</t>
        </is>
      </c>
    </row>
    <row r="15">
      <c r="A15" s="6" t="inlineStr">
        <is>
          <t>CE6</t>
        </is>
      </c>
      <c r="B15" s="6" t="inlineStr">
        <is>
          <t>Excluidos: 33</t>
        </is>
      </c>
      <c r="C15" s="6" t="inlineStr">
        <is>
          <t>Área nacional, continental, global, urbana o llana.</t>
        </is>
      </c>
    </row>
    <row r="16">
      <c r="A16" s="6" t="inlineStr">
        <is>
          <t>CE7</t>
        </is>
      </c>
      <c r="B16" s="6" t="inlineStr">
        <is>
          <t>Excluidos: 4</t>
        </is>
      </c>
      <c r="C16" s="6" t="inlineStr">
        <is>
          <t>Validación contra otro producto grillado, no contra estaciones.</t>
        </is>
      </c>
    </row>
    <row r="17">
      <c r="A17" s="6" t="inlineStr">
        <is>
          <t>CE8</t>
        </is>
      </c>
      <c r="B17" s="6" t="inlineStr">
        <is>
          <t>Excluidos: 1</t>
        </is>
      </c>
      <c r="C17" s="6" t="inlineStr">
        <is>
          <t>Otra variable (GRACE, PM10, NO2, humedad, sedimentos).</t>
        </is>
      </c>
    </row>
    <row r="18">
      <c r="A18" s="6" t="inlineStr">
        <is>
          <t>CE9</t>
        </is>
      </c>
      <c r="B18" s="6" t="inlineStr">
        <is>
          <t>Excluidos: 8</t>
        </is>
      </c>
      <c r="C18" s="6" t="inlineStr">
        <is>
          <t>Revisión, artículo metodológico, texto en chino o registro no identificable.</t>
        </is>
      </c>
    </row>
    <row r="19">
      <c r="A19" s="6" t="inlineStr"/>
      <c r="B19" s="6" t="inlineStr"/>
      <c r="C19" s="6" t="inlineStr"/>
    </row>
    <row r="20">
      <c r="A20" s="6" t="inlineStr">
        <is>
          <t>Flujo</t>
        </is>
      </c>
      <c r="B20" s="6" t="inlineStr">
        <is>
          <t>Identificados</t>
        </is>
      </c>
      <c r="C20" s="6" t="inlineStr">
        <is>
          <t>263 (254 de la recolección + 9 de la ficha)</t>
        </is>
      </c>
    </row>
    <row r="21">
      <c r="A21" s="6" t="inlineStr"/>
      <c r="B21" s="6" t="inlineStr">
        <is>
          <t>Excluidos por año (CE1)</t>
        </is>
      </c>
      <c r="C21" s="6" t="inlineStr">
        <is>
          <t>69</t>
        </is>
      </c>
    </row>
    <row r="22">
      <c r="A22" s="6" t="inlineStr"/>
      <c r="B22" s="6" t="inlineStr">
        <is>
          <t>Evaluados</t>
        </is>
      </c>
      <c r="C22" s="6" t="inlineStr">
        <is>
          <t>194</t>
        </is>
      </c>
    </row>
    <row r="23">
      <c r="A23" s="6" t="inlineStr"/>
      <c r="B23" s="6" t="inlineStr">
        <is>
          <t>Excluidos (CE2–CE9)</t>
        </is>
      </c>
      <c r="C23" s="6" t="inlineStr">
        <is>
          <t>177</t>
        </is>
      </c>
    </row>
    <row r="24">
      <c r="A24" s="6" t="inlineStr"/>
      <c r="B24" s="6" t="inlineStr">
        <is>
          <t>Incluidos</t>
        </is>
      </c>
      <c r="C24" s="6" t="inlineStr">
        <is>
          <t>17 estudios, 18 comparaciones (15 de precipitación y 3 de temperatura)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2026-10-13T18:23:57Z</dcterms:created>
  <dcterms:modified xmlns:dcterms="http://purl.org/dc/terms/" xmlns:xsi="http://www.w3.org/2001/XMLSchema-instance" xsi:type="dcterms:W3CDTF">2026-10-16T03:12:53Z</dcterms:modified>
</cp:coreProperties>
</file>