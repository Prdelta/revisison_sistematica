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" sheetId="1" state="visible" r:id="rId1"/>
    <sheet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9"/>
    </font>
    <font>
      <b val="1"/>
      <color rgb="00FFFFFF"/>
      <sz val="10"/>
    </font>
    <font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4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8" customWidth="1" min="4" max="4"/>
    <col width="14" customWidth="1" min="5" max="5"/>
    <col width="32" customWidth="1" min="6" max="6"/>
    <col width="14" customWidth="1" min="7" max="7"/>
    <col width="14" customWidth="1" min="8" max="8"/>
    <col width="14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14" customWidth="1" min="22" max="22"/>
    <col width="18" customWidth="1" min="23" max="23"/>
    <col width="18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45" customWidth="1" min="46" max="46"/>
  </cols>
  <sheetData>
    <row r="1">
      <c r="A1" s="1" t="inlineStr">
        <is>
          <t>Identificación</t>
        </is>
      </c>
      <c r="B1" s="1" t="inlineStr">
        <is>
          <t>Identificación</t>
        </is>
      </c>
      <c r="C1" s="1" t="inlineStr">
        <is>
          <t>Identificación</t>
        </is>
      </c>
      <c r="D1" s="1" t="inlineStr">
        <is>
          <t>Identificación</t>
        </is>
      </c>
      <c r="E1" s="1" t="inlineStr">
        <is>
          <t>Identificación</t>
        </is>
      </c>
      <c r="F1" s="1" t="inlineStr">
        <is>
          <t>Identificación</t>
        </is>
      </c>
      <c r="G1" s="1" t="inlineStr">
        <is>
          <t>Identificación</t>
        </is>
      </c>
      <c r="H1" s="1" t="inlineStr">
        <is>
          <t>Identificación</t>
        </is>
      </c>
      <c r="I1" s="1" t="inlineStr">
        <is>
          <t>Contexto</t>
        </is>
      </c>
      <c r="J1" s="1" t="inlineStr">
        <is>
          <t>Contexto</t>
        </is>
      </c>
      <c r="K1" s="1" t="inlineStr">
        <is>
          <t>Contexto</t>
        </is>
      </c>
      <c r="L1" s="1" t="inlineStr">
        <is>
          <t>Contexto</t>
        </is>
      </c>
      <c r="M1" s="1" t="inlineStr">
        <is>
          <t>Contexto</t>
        </is>
      </c>
      <c r="N1" s="1" t="inlineStr">
        <is>
          <t>Contexto</t>
        </is>
      </c>
      <c r="O1" s="1" t="inlineStr">
        <is>
          <t>Red</t>
        </is>
      </c>
      <c r="P1" s="1" t="inlineStr">
        <is>
          <t>Red</t>
        </is>
      </c>
      <c r="Q1" s="1" t="inlineStr">
        <is>
          <t>Red</t>
        </is>
      </c>
      <c r="R1" s="1" t="inlineStr">
        <is>
          <t>Datos</t>
        </is>
      </c>
      <c r="S1" s="1" t="inlineStr">
        <is>
          <t>Datos</t>
        </is>
      </c>
      <c r="T1" s="1" t="inlineStr">
        <is>
          <t>Datos</t>
        </is>
      </c>
      <c r="U1" s="1" t="inlineStr">
        <is>
          <t>Datos</t>
        </is>
      </c>
      <c r="V1" s="1" t="inlineStr">
        <is>
          <t>Datos</t>
        </is>
      </c>
      <c r="W1" s="1" t="inlineStr">
        <is>
          <t>Métodos</t>
        </is>
      </c>
      <c r="X1" s="1" t="inlineStr">
        <is>
          <t>Métodos</t>
        </is>
      </c>
      <c r="Y1" s="1" t="inlineStr">
        <is>
          <t>Métodos</t>
        </is>
      </c>
      <c r="Z1" s="1" t="inlineStr">
        <is>
          <t>Métodos</t>
        </is>
      </c>
      <c r="AA1" s="1" t="inlineStr">
        <is>
          <t>Validación</t>
        </is>
      </c>
      <c r="AB1" s="1" t="inlineStr">
        <is>
          <t>Validación</t>
        </is>
      </c>
      <c r="AC1" s="1" t="inlineStr">
        <is>
          <t>Validación</t>
        </is>
      </c>
      <c r="AD1" s="1" t="inlineStr">
        <is>
          <t>Resultados</t>
        </is>
      </c>
      <c r="AE1" s="1" t="inlineStr">
        <is>
          <t>Resultados</t>
        </is>
      </c>
      <c r="AF1" s="1" t="inlineStr">
        <is>
          <t>Resultados</t>
        </is>
      </c>
      <c r="AG1" s="1" t="inlineStr">
        <is>
          <t>Resultados</t>
        </is>
      </c>
      <c r="AH1" s="1" t="inlineStr">
        <is>
          <t>Resultados</t>
        </is>
      </c>
      <c r="AI1" s="1" t="inlineStr">
        <is>
          <t>Resultados</t>
        </is>
      </c>
      <c r="AJ1" s="1" t="inlineStr">
        <is>
          <t>Resultados</t>
        </is>
      </c>
      <c r="AK1" s="1" t="inlineStr">
        <is>
          <t>Resultados</t>
        </is>
      </c>
      <c r="AL1" s="1" t="inlineStr">
        <is>
          <t>Resultados</t>
        </is>
      </c>
      <c r="AM1" s="1" t="inlineStr">
        <is>
          <t>Resultados</t>
        </is>
      </c>
      <c r="AN1" s="1" t="inlineStr">
        <is>
          <t>Resultados</t>
        </is>
      </c>
      <c r="AO1" s="1" t="inlineStr">
        <is>
          <t>Resultados</t>
        </is>
      </c>
      <c r="AP1" s="1" t="inlineStr">
        <is>
          <t>Efecto</t>
        </is>
      </c>
      <c r="AQ1" s="1" t="inlineStr">
        <is>
          <t>Efecto</t>
        </is>
      </c>
      <c r="AR1" s="1" t="inlineStr">
        <is>
          <t>Calidad</t>
        </is>
      </c>
      <c r="AS1" s="1" t="inlineStr">
        <is>
          <t>Calidad</t>
        </is>
      </c>
      <c r="AT1" s="1" t="inlineStr">
        <is>
          <t>Control</t>
        </is>
      </c>
    </row>
    <row r="2" ht="30" customHeight="1">
      <c r="A2" s="2" t="inlineStr">
        <is>
          <t>id_estudio</t>
        </is>
      </c>
      <c r="B2" s="2" t="inlineStr">
        <is>
          <t>id_comparacion</t>
        </is>
      </c>
      <c r="C2" s="2" t="inlineStr">
        <is>
          <t>estado</t>
        </is>
      </c>
      <c r="D2" s="2" t="inlineStr">
        <is>
          <t>titulo</t>
        </is>
      </c>
      <c r="E2" s="2" t="inlineStr">
        <is>
          <t>anio</t>
        </is>
      </c>
      <c r="F2" s="2" t="inlineStr">
        <is>
          <t>referencia_doi</t>
        </is>
      </c>
      <c r="G2" s="2" t="inlineStr">
        <is>
          <t>extractor</t>
        </is>
      </c>
      <c r="H2" s="2" t="inlineStr">
        <is>
          <t>fecha_extraccion</t>
        </is>
      </c>
      <c r="I2" s="2" t="inlineStr">
        <is>
          <t>pais</t>
        </is>
      </c>
      <c r="J2" s="2" t="inlineStr">
        <is>
          <t>area</t>
        </is>
      </c>
      <c r="K2" s="2" t="inlineStr">
        <is>
          <t>estrato_andino</t>
        </is>
      </c>
      <c r="L2" s="2" t="inlineStr">
        <is>
          <t>altitud_min</t>
        </is>
      </c>
      <c r="M2" s="2" t="inlineStr">
        <is>
          <t>altitud_max</t>
        </is>
      </c>
      <c r="N2" s="2" t="inlineStr">
        <is>
          <t>altitud_media</t>
        </is>
      </c>
      <c r="O2" s="2" t="inlineStr">
        <is>
          <t>area_km2</t>
        </is>
      </c>
      <c r="P2" s="2" t="inlineStr">
        <is>
          <t>n_estaciones</t>
        </is>
      </c>
      <c r="Q2" s="2" t="inlineStr">
        <is>
          <t>densidad</t>
        </is>
      </c>
      <c r="R2" s="2" t="inlineStr">
        <is>
          <t>variable</t>
        </is>
      </c>
      <c r="S2" s="2" t="inlineStr">
        <is>
          <t>escala_temporal</t>
        </is>
      </c>
      <c r="T2" s="2" t="inlineStr">
        <is>
          <t>periodo</t>
        </is>
      </c>
      <c r="U2" s="2" t="inlineStr">
        <is>
          <t>covariables</t>
        </is>
      </c>
      <c r="V2" s="2" t="inlineStr">
        <is>
          <t>producto_satelital</t>
        </is>
      </c>
      <c r="W2" s="2" t="inlineStr">
        <is>
          <t>metodo_geo</t>
        </is>
      </c>
      <c r="X2" s="2" t="inlineStr">
        <is>
          <t>metodo_aa</t>
        </is>
      </c>
      <c r="Y2" s="2" t="inlineStr">
        <is>
          <t>hibrido</t>
        </is>
      </c>
      <c r="Z2" s="2" t="inlineStr">
        <is>
          <t>covariables_equivalentes</t>
        </is>
      </c>
      <c r="AA2" s="2" t="inlineStr">
        <is>
          <t>esquema_validacion</t>
        </is>
      </c>
      <c r="AB2" s="2" t="inlineStr">
        <is>
          <t>k_o_n_bloques</t>
        </is>
      </c>
      <c r="AC2" s="2" t="inlineStr">
        <is>
          <t>n_validacion</t>
        </is>
      </c>
      <c r="AD2" s="2" t="inlineStr">
        <is>
          <t>rmse_geo</t>
        </is>
      </c>
      <c r="AE2" s="2" t="inlineStr">
        <is>
          <t>rmse_aa</t>
        </is>
      </c>
      <c r="AF2" s="2" t="inlineStr">
        <is>
          <t>unidad</t>
        </is>
      </c>
      <c r="AG2" s="2" t="inlineStr">
        <is>
          <t>mae_geo</t>
        </is>
      </c>
      <c r="AH2" s="2" t="inlineStr">
        <is>
          <t>mae_aa</t>
        </is>
      </c>
      <c r="AI2" s="2" t="inlineStr">
        <is>
          <t>r2_geo</t>
        </is>
      </c>
      <c r="AJ2" s="2" t="inlineStr">
        <is>
          <t>r2_aa</t>
        </is>
      </c>
      <c r="AK2" s="2" t="inlineStr">
        <is>
          <t>kge_geo</t>
        </is>
      </c>
      <c r="AL2" s="2" t="inlineStr">
        <is>
          <t>kge_aa</t>
        </is>
      </c>
      <c r="AM2" s="2" t="inlineStr">
        <is>
          <t>sesgo_pct_geo</t>
        </is>
      </c>
      <c r="AN2" s="2" t="inlineStr">
        <is>
          <t>sesgo_pct_aa</t>
        </is>
      </c>
      <c r="AO2" s="2" t="inlineStr">
        <is>
          <t>cobertura_ic</t>
        </is>
      </c>
      <c r="AP2" s="2" t="inlineStr">
        <is>
          <t>ln_ratio</t>
        </is>
      </c>
      <c r="AQ2" s="2" t="inlineStr">
        <is>
          <t>var_ln_ratio</t>
        </is>
      </c>
      <c r="AR2" s="2" t="inlineStr">
        <is>
          <t>riesgo_fuga</t>
        </is>
      </c>
      <c r="AS2" s="2" t="inlineStr">
        <is>
          <t>reporte_incompleto</t>
        </is>
      </c>
      <c r="AT2" s="2" t="inlineStr">
        <is>
          <t>observaciones</t>
        </is>
      </c>
    </row>
    <row r="3">
      <c r="A3" s="3" t="inlineStr">
        <is>
          <t>dura2024</t>
        </is>
      </c>
      <c r="B3" s="3" t="inlineStr">
        <is>
          <t>dura2024_a</t>
        </is>
      </c>
      <c r="C3" s="3" t="inlineStr">
        <is>
          <t>Incluido</t>
        </is>
      </c>
      <c r="D3" s="3" t="inlineStr">
        <is>
          <t>Spatial Interpolation of Seasonal Precipitations Using Rain Gauge Data and Convection-Permitting Regional Climate Model Simulations in a Complex Topographical Region</t>
        </is>
      </c>
      <c r="E3" s="3" t="n">
        <v>2024</v>
      </c>
      <c r="F3" s="3" t="inlineStr">
        <is>
          <t>https://doi.org/10.1002/joc.8662</t>
        </is>
      </c>
      <c r="G3" s="3" t="n"/>
      <c r="H3" s="3" t="n"/>
      <c r="I3" s="3" t="inlineStr">
        <is>
          <t>Francia</t>
        </is>
      </c>
      <c r="J3" s="3" t="inlineStr">
        <is>
          <t>Alpes y Pirineos (territorio nacional)</t>
        </is>
      </c>
      <c r="K3" s="3" t="n">
        <v>0</v>
      </c>
      <c r="L3" s="3" t="n">
        <v>0</v>
      </c>
      <c r="M3" s="3" t="n">
        <v>4808</v>
      </c>
      <c r="N3" s="3" t="n"/>
      <c r="O3" s="3" t="n">
        <v>300000</v>
      </c>
      <c r="P3" s="3" t="n">
        <v>3189</v>
      </c>
      <c r="Q3" s="3">
        <f>IF(AND(ISNUMBER(P3),ISNUMBER(O3)),P3/O3*1000,"")</f>
        <v/>
      </c>
      <c r="R3" s="3" t="inlineStr">
        <is>
          <t>precipitación</t>
        </is>
      </c>
      <c r="S3" s="3" t="inlineStr">
        <is>
          <t>estacional</t>
        </is>
      </c>
      <c r="T3" s="3" t="inlineStr">
        <is>
          <t>1982–2018</t>
        </is>
      </c>
      <c r="U3" s="3" t="inlineStr">
        <is>
          <t>coordenadas, altitud, distancias de amortiguación, precipitación AROME (CP-RCM)</t>
        </is>
      </c>
      <c r="V3" s="3" t="n"/>
      <c r="W3" s="3" t="inlineStr">
        <is>
          <t>KO; KED (altitud); KED (AROME); GWR</t>
        </is>
      </c>
      <c r="X3" s="3" t="inlineStr">
        <is>
          <t>RF; RFratio</t>
        </is>
      </c>
      <c r="Y3" s="3" t="n"/>
      <c r="Z3" s="3" t="n"/>
      <c r="AA3" s="3" t="inlineStr">
        <is>
          <t>estaciones independientes</t>
        </is>
      </c>
      <c r="AB3" s="3" t="n">
        <v>10</v>
      </c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>
        <f>IF(AND(ISNUMBER(AD3),ISNUMBER(AE3)),LN(AD3/AE3),"")</f>
        <v/>
      </c>
      <c r="AQ3" s="3">
        <f>IF(ISNUMBER(AC3),1/AC3,"")</f>
        <v/>
      </c>
      <c r="AR3" s="3" t="n"/>
      <c r="AS3" s="3" t="n">
        <v>1</v>
      </c>
      <c r="AT3" s="3" t="inlineStr">
        <is>
          <t>Revisado a texto completo (13/10/2026). Retención por grupos KMeans (coordenadas y altitud) con 10–90 % de estaciones para entrenar, repetida 10 veces. Solo reporta KGE, R, Beta y Gamma en figuras, sin RMSE: hay que leer valores de la figura 3 o pedirlos. Orden: RFratio &gt; GWR ≈ KEDarome &gt; RF &gt; KO y KEDz.</t>
        </is>
      </c>
    </row>
    <row r="4">
      <c r="A4" s="3" t="inlineStr">
        <is>
          <t>sekulic2020</t>
        </is>
      </c>
      <c r="B4" s="3" t="inlineStr">
        <is>
          <t>sekulic2020_a</t>
        </is>
      </c>
      <c r="C4" s="3" t="inlineStr">
        <is>
          <t>Incluido</t>
        </is>
      </c>
      <c r="D4" s="3" t="inlineStr">
        <is>
          <t>Random Forest Spatial Interpolation</t>
        </is>
      </c>
      <c r="E4" s="3" t="n">
        <v>2020</v>
      </c>
      <c r="F4" s="3" t="inlineStr">
        <is>
          <t>https://doi.org/10.3390/rs12101687</t>
        </is>
      </c>
      <c r="G4" s="3" t="n"/>
      <c r="H4" s="3" t="n"/>
      <c r="I4" s="3" t="inlineStr">
        <is>
          <t>España</t>
        </is>
      </c>
      <c r="J4" s="3" t="inlineStr">
        <is>
          <t>Cataluña</t>
        </is>
      </c>
      <c r="K4" s="3" t="n">
        <v>0</v>
      </c>
      <c r="L4" s="3" t="n"/>
      <c r="M4" s="3" t="n"/>
      <c r="N4" s="3" t="n"/>
      <c r="O4" s="3" t="n">
        <v>32108</v>
      </c>
      <c r="P4" s="3" t="n">
        <v>87</v>
      </c>
      <c r="Q4" s="3">
        <f>IF(AND(ISNUMBER(P4),ISNUMBER(O4)),P4/O4*1000,"")</f>
        <v/>
      </c>
      <c r="R4" s="3" t="inlineStr">
        <is>
          <t>precipitación</t>
        </is>
      </c>
      <c r="S4" s="3" t="inlineStr">
        <is>
          <t>diaria</t>
        </is>
      </c>
      <c r="T4" s="3" t="inlineStr">
        <is>
          <t>2016–2018</t>
        </is>
      </c>
      <c r="U4" s="3" t="inlineStr">
        <is>
          <t>IMERG y otras dos covariables ambientales</t>
        </is>
      </c>
      <c r="V4" s="3" t="inlineStr">
        <is>
          <t>IMERG (late run V06A)</t>
        </is>
      </c>
      <c r="W4" s="3" t="inlineStr">
        <is>
          <t>RK espacio-temporal (STRK)</t>
        </is>
      </c>
      <c r="X4" s="3" t="inlineStr">
        <is>
          <t>RF (RFSI)</t>
        </is>
      </c>
      <c r="Y4" s="3" t="n"/>
      <c r="Z4" s="3" t="n"/>
      <c r="AA4" s="3" t="inlineStr">
        <is>
          <t>estaciones independientes</t>
        </is>
      </c>
      <c r="AB4" s="3" t="n">
        <v>5</v>
      </c>
      <c r="AC4" s="3" t="n"/>
      <c r="AD4" s="3" t="n">
        <v>3.9</v>
      </c>
      <c r="AE4" s="3" t="n">
        <v>3.8</v>
      </c>
      <c r="AF4" s="3" t="inlineStr">
        <is>
          <t>mm</t>
        </is>
      </c>
      <c r="AG4" s="3" t="n">
        <v>1.2</v>
      </c>
      <c r="AH4" s="3" t="n">
        <v>1.1</v>
      </c>
      <c r="AI4" s="3" t="n"/>
      <c r="AJ4" s="3" t="n"/>
      <c r="AK4" s="3" t="n"/>
      <c r="AL4" s="3" t="n"/>
      <c r="AM4" s="3" t="n"/>
      <c r="AN4" s="3" t="n"/>
      <c r="AO4" s="3" t="n"/>
      <c r="AP4" s="3">
        <f>IF(AND(ISNUMBER(AD4),ISNUMBER(AE4)),LN(AD4/AE4),"")</f>
        <v/>
      </c>
      <c r="AQ4" s="3">
        <f>IF(ISNUMBER(AC4),1/AC4,"")</f>
        <v/>
      </c>
      <c r="AR4" s="3" t="inlineStr">
        <is>
          <t>Bajo</t>
        </is>
      </c>
      <c r="AS4" s="3" t="n"/>
      <c r="AT4" s="3" t="inlineStr">
        <is>
          <t>Revisado a texto completo (13/10/2026). LLOCV anidada de 5 pliegues (se dejan fuera estaciones completas). Mejor AA = RFSI (3,8 mm); RF simple 4,9 mm y RFsp 4,7 mm; IDW 3,8 mm. Comparación con el mejor de cada familia.</t>
        </is>
      </c>
    </row>
    <row r="5">
      <c r="A5" s="3" t="inlineStr">
        <is>
          <t>zhu2024</t>
        </is>
      </c>
      <c r="B5" s="3" t="inlineStr">
        <is>
          <t>zhu2024_a</t>
        </is>
      </c>
      <c r="C5" s="3" t="inlineStr">
        <is>
          <t>Incluido</t>
        </is>
      </c>
      <c r="D5" s="3" t="inlineStr">
        <is>
          <t>A comparison of statistical and machine learning models for spatio-temporal prediction of ambient air pollutant concentrations in Scotland</t>
        </is>
      </c>
      <c r="E5" s="3" t="n">
        <v>2024</v>
      </c>
      <c r="F5" s="3" t="inlineStr">
        <is>
          <t>https://doi.org/10.1007/s10651-024-00635-5</t>
        </is>
      </c>
      <c r="G5" s="3" t="n"/>
      <c r="H5" s="3" t="n"/>
      <c r="I5" s="3" t="inlineStr">
        <is>
          <t>Reino Unido</t>
        </is>
      </c>
      <c r="J5" s="3" t="inlineStr">
        <is>
          <t>Escocia</t>
        </is>
      </c>
      <c r="K5" s="3" t="n">
        <v>0</v>
      </c>
      <c r="L5" s="3" t="n"/>
      <c r="M5" s="3" t="n"/>
      <c r="N5" s="3" t="n"/>
      <c r="O5" s="3" t="n">
        <v>77910</v>
      </c>
      <c r="P5" s="3" t="n">
        <v>106</v>
      </c>
      <c r="Q5" s="3">
        <f>IF(AND(ISNUMBER(P5),ISNUMBER(O5)),P5/O5*1000,"")</f>
        <v/>
      </c>
      <c r="R5" s="3" t="inlineStr">
        <is>
          <t>PM2.5</t>
        </is>
      </c>
      <c r="S5" s="3" t="inlineStr">
        <is>
          <t>mensual</t>
        </is>
      </c>
      <c r="T5" s="3" t="inlineStr">
        <is>
          <t>2016–2020</t>
        </is>
      </c>
      <c r="U5" s="3" t="inlineStr">
        <is>
          <t>modelo PCM, meteorología HadUK-Grid, uso del suelo, distancia a vías, clasificación urbano-rural</t>
        </is>
      </c>
      <c r="V5" s="3" t="n"/>
      <c r="W5" s="3" t="inlineStr">
        <is>
          <t>bayesiano espacio-temporal (SPgp)</t>
        </is>
      </c>
      <c r="X5" s="3" t="inlineStr">
        <is>
          <t>RF</t>
        </is>
      </c>
      <c r="Y5" s="3" t="n"/>
      <c r="Z5" s="3" t="n"/>
      <c r="AA5" s="3" t="inlineStr">
        <is>
          <t>estaciones independientes</t>
        </is>
      </c>
      <c r="AB5" s="3" t="n">
        <v>10</v>
      </c>
      <c r="AC5" s="3" t="n"/>
      <c r="AD5" s="3" t="n">
        <v>1.15</v>
      </c>
      <c r="AE5" s="3" t="n">
        <v>1.15</v>
      </c>
      <c r="AF5" s="3" t="inlineStr">
        <is>
          <t>μg/m³</t>
        </is>
      </c>
      <c r="AG5" s="3" t="n">
        <v>0.54</v>
      </c>
      <c r="AH5" s="3" t="n">
        <v>0.54</v>
      </c>
      <c r="AI5" s="3" t="n"/>
      <c r="AJ5" s="3" t="n"/>
      <c r="AK5" s="3" t="n"/>
      <c r="AL5" s="3" t="n"/>
      <c r="AM5" s="3" t="n"/>
      <c r="AN5" s="3" t="n"/>
      <c r="AO5" s="3" t="n"/>
      <c r="AP5" s="3">
        <f>IF(AND(ISNUMBER(AD5),ISNUMBER(AE5)),LN(AD5/AE5),"")</f>
        <v/>
      </c>
      <c r="AQ5" s="3">
        <f>IF(ISNUMBER(AC5),1/AC5,"")</f>
        <v/>
      </c>
      <c r="AR5" s="3" t="inlineStr">
        <is>
          <t>Bajo</t>
        </is>
      </c>
      <c r="AS5" s="3" t="n"/>
      <c r="AT5" s="3" t="inlineStr">
        <is>
          <t>Revisado a texto completo (13/10/2026). Validación espacial: 80 % de sitios para entrenar y 20 % para probar, repetida 10 veces. PM2.5: SPgp y RF empatan (RMSE 1,15). 106 sitios para los tres contaminantes. Revisar criterio de área: Escocia no tiene estrato montañoso separable.</t>
        </is>
      </c>
    </row>
    <row r="6">
      <c r="A6" s="3" t="inlineStr">
        <is>
          <t>manaf2026</t>
        </is>
      </c>
      <c r="B6" s="3" t="inlineStr">
        <is>
          <t>manaf2026_a</t>
        </is>
      </c>
      <c r="C6" s="3" t="inlineStr">
        <is>
          <t>Excluido</t>
        </is>
      </c>
      <c r="D6" s="3" t="inlineStr">
        <is>
          <t>Integrating random forest-based regression kriging for analyzing spatial variability of rainfall in arid and semi-arid regions</t>
        </is>
      </c>
      <c r="E6" s="3" t="n">
        <v>2026</v>
      </c>
      <c r="F6" s="3" t="inlineStr">
        <is>
          <t>https://doi.org/10.1038/s41598-026-36074-4</t>
        </is>
      </c>
      <c r="G6" s="3" t="n"/>
      <c r="H6" s="3" t="n"/>
      <c r="I6" s="3" t="inlineStr">
        <is>
          <t>Pakistán</t>
        </is>
      </c>
      <c r="J6" s="3" t="inlineStr">
        <is>
          <t>Regiones áridas y semiáridas</t>
        </is>
      </c>
      <c r="K6" s="3" t="n">
        <v>0</v>
      </c>
      <c r="L6" s="3" t="n"/>
      <c r="M6" s="3" t="n"/>
      <c r="N6" s="3" t="n"/>
      <c r="O6" s="3" t="n"/>
      <c r="P6" s="3" t="n">
        <v>42</v>
      </c>
      <c r="Q6" s="3">
        <f>IF(AND(ISNUMBER(P6),ISNUMBER(O6)),P6/O6*1000,"")</f>
        <v/>
      </c>
      <c r="R6" s="3" t="inlineStr">
        <is>
          <t>precipitación</t>
        </is>
      </c>
      <c r="S6" s="3" t="inlineStr">
        <is>
          <t>mensual</t>
        </is>
      </c>
      <c r="T6" s="3" t="inlineStr">
        <is>
          <t>2001–2021</t>
        </is>
      </c>
      <c r="U6" s="3" t="inlineStr">
        <is>
          <t>latitud, longitud</t>
        </is>
      </c>
      <c r="V6" s="3" t="n"/>
      <c r="W6" s="3" t="inlineStr">
        <is>
          <t>RK (variograma con LOOCV)</t>
        </is>
      </c>
      <c r="X6" s="3" t="inlineStr">
        <is>
          <t>RF, SVM, KNN, NN, EN, PR como tendencia del RK</t>
        </is>
      </c>
      <c r="Y6" s="3" t="n">
        <v>1</v>
      </c>
      <c r="Z6" s="3" t="n"/>
      <c r="AA6" s="3" t="inlineStr">
        <is>
          <t>k-fold aleatoria</t>
        </is>
      </c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>
        <f>IF(AND(ISNUMBER(AD6),ISNUMBER(AE6)),LN(AD6/AE6),"")</f>
        <v/>
      </c>
      <c r="AQ6" s="3">
        <f>IF(ISNUMBER(AC6),1/AC6,"")</f>
        <v/>
      </c>
      <c r="AR6" s="3" t="n"/>
      <c r="AS6" s="3" t="n"/>
      <c r="AT6" s="3" t="inlineStr">
        <is>
          <t>Revisado a texto completo (13/10/2026). Excluir: los datos de las 42 'estaciones' provienen de NASA POWER (producto grillado), no de pluviómetros; solo compara híbridos RK entre sí, sin brazo geoestadístico puro. RF-RK obtuvo el menor RMSE (p. ej., junio 0,20).</t>
        </is>
      </c>
    </row>
    <row r="7">
      <c r="A7" s="4" t="inlineStr">
        <is>
          <t>liu2026</t>
        </is>
      </c>
      <c r="B7" s="4" t="inlineStr">
        <is>
          <t>liu2026_a</t>
        </is>
      </c>
      <c r="C7" s="4" t="inlineStr">
        <is>
          <t>En evaluación</t>
        </is>
      </c>
      <c r="D7" s="4" t="inlineStr">
        <is>
          <t>Integration of Deep Learning with Geographical Discrepancy Analysis for IMERG Precipitation Fusion: Application to Flash Flood Simulation</t>
        </is>
      </c>
      <c r="E7" s="4" t="n">
        <v>2026</v>
      </c>
      <c r="F7" s="4" t="inlineStr">
        <is>
          <t>https://doi.org/10.1007/s11269-026-04881-z</t>
        </is>
      </c>
      <c r="G7" s="4" t="n"/>
      <c r="H7" s="4" t="n"/>
      <c r="I7" s="4" t="inlineStr">
        <is>
          <t>China</t>
        </is>
      </c>
      <c r="J7" s="4" t="inlineStr">
        <is>
          <t>Cuenca del río Shentan</t>
        </is>
      </c>
      <c r="K7" s="4" t="n">
        <v>0</v>
      </c>
      <c r="L7" s="4" t="n"/>
      <c r="M7" s="4" t="n"/>
      <c r="N7" s="4" t="n"/>
      <c r="O7" s="4" t="n"/>
      <c r="P7" s="4" t="n"/>
      <c r="Q7" s="4">
        <f>IF(AND(ISNUMBER(P7),ISNUMBER(O7)),P7/O7*1000,"")</f>
        <v/>
      </c>
      <c r="R7" s="4" t="inlineStr">
        <is>
          <t>precipitación</t>
        </is>
      </c>
      <c r="S7" s="4" t="n"/>
      <c r="T7" s="4" t="n"/>
      <c r="U7" s="4" t="n"/>
      <c r="V7" s="4" t="inlineStr">
        <is>
          <t>IMERG</t>
        </is>
      </c>
      <c r="W7" s="4" t="inlineStr">
        <is>
          <t>kriging (GDAK)</t>
        </is>
      </c>
      <c r="X7" s="4" t="inlineStr">
        <is>
          <t>RNA</t>
        </is>
      </c>
      <c r="Y7" s="4" t="n">
        <v>1</v>
      </c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>
        <f>IF(AND(ISNUMBER(AD7),ISNUMBER(AE7)),LN(AD7/AE7),"")</f>
        <v/>
      </c>
      <c r="AQ7" s="4">
        <f>IF(ISNUMBER(AC7),1/AC7,"")</f>
        <v/>
      </c>
      <c r="AR7" s="4" t="n"/>
      <c r="AS7" s="4" t="n"/>
      <c r="AT7" s="4" t="n"/>
    </row>
    <row r="8">
      <c r="A8" s="4" t="inlineStr">
        <is>
          <t>husrevoglu2025</t>
        </is>
      </c>
      <c r="B8" s="4" t="inlineStr">
        <is>
          <t>husrevoglu2025_a</t>
        </is>
      </c>
      <c r="C8" s="4" t="inlineStr">
        <is>
          <t>En evaluación</t>
        </is>
      </c>
      <c r="D8" s="4" t="inlineStr">
        <is>
          <t>Evaluating the performance of ANN and ANFIS models for spatial precipitation prediction in complex terrain: a case study in central Anatolia</t>
        </is>
      </c>
      <c r="E8" s="4" t="n">
        <v>2025</v>
      </c>
      <c r="F8" s="4" t="inlineStr">
        <is>
          <t>https://doi.org/10.1007/s00704-025-05637-2</t>
        </is>
      </c>
      <c r="G8" s="4" t="n"/>
      <c r="H8" s="4" t="n"/>
      <c r="I8" s="4" t="inlineStr">
        <is>
          <t>Turquía</t>
        </is>
      </c>
      <c r="J8" s="4" t="inlineStr">
        <is>
          <t>Anatolia central</t>
        </is>
      </c>
      <c r="K8" s="4" t="n">
        <v>0</v>
      </c>
      <c r="L8" s="4" t="n"/>
      <c r="M8" s="4" t="n"/>
      <c r="N8" s="4" t="n"/>
      <c r="O8" s="4" t="n"/>
      <c r="P8" s="4" t="n">
        <v>193</v>
      </c>
      <c r="Q8" s="4">
        <f>IF(AND(ISNUMBER(P8),ISNUMBER(O8)),P8/O8*1000,"")</f>
        <v/>
      </c>
      <c r="R8" s="4" t="inlineStr">
        <is>
          <t>precipitación</t>
        </is>
      </c>
      <c r="S8" s="4" t="n"/>
      <c r="T8" s="4" t="n"/>
      <c r="U8" s="4" t="n"/>
      <c r="V8" s="4" t="n"/>
      <c r="W8" s="4" t="inlineStr">
        <is>
          <t>KO; CoK; RK</t>
        </is>
      </c>
      <c r="X8" s="4" t="inlineStr">
        <is>
          <t>RNA</t>
        </is>
      </c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>
        <f>IF(AND(ISNUMBER(AD8),ISNUMBER(AE8)),LN(AD8/AE8),"")</f>
        <v/>
      </c>
      <c r="AQ8" s="4">
        <f>IF(ISNUMBER(AC8),1/AC8,"")</f>
        <v/>
      </c>
      <c r="AR8" s="4" t="n"/>
      <c r="AS8" s="4" t="n"/>
      <c r="AT8" s="4" t="inlineStr">
        <is>
          <t>Resumen: RMSE de prueba de la mejor ANN = 9,6 mm</t>
        </is>
      </c>
    </row>
    <row r="9">
      <c r="A9" s="4" t="inlineStr">
        <is>
          <t>wang2025</t>
        </is>
      </c>
      <c r="B9" s="4" t="inlineStr">
        <is>
          <t>wang2025_a</t>
        </is>
      </c>
      <c r="C9" s="4" t="inlineStr">
        <is>
          <t>En evaluación</t>
        </is>
      </c>
      <c r="D9" s="4" t="inlineStr">
        <is>
          <t>Reconstruction of high-precision gridded precipitation dataset in the alpine cold regions of the Qilian Mountains: An intelligent technological framework from downscaling to calibration</t>
        </is>
      </c>
      <c r="E9" s="4" t="n">
        <v>2025</v>
      </c>
      <c r="F9" s="4" t="inlineStr">
        <is>
          <t>https://doi.org/10.1016/j.atmosres.2025.108387</t>
        </is>
      </c>
      <c r="G9" s="4" t="n"/>
      <c r="H9" s="4" t="n"/>
      <c r="I9" s="4" t="inlineStr">
        <is>
          <t>China</t>
        </is>
      </c>
      <c r="J9" s="4" t="inlineStr">
        <is>
          <t>Montañas Qilian</t>
        </is>
      </c>
      <c r="K9" s="4" t="n">
        <v>0</v>
      </c>
      <c r="L9" s="4" t="n"/>
      <c r="M9" s="4" t="n"/>
      <c r="N9" s="4" t="n"/>
      <c r="O9" s="4" t="n"/>
      <c r="P9" s="4" t="n">
        <v>100</v>
      </c>
      <c r="Q9" s="4">
        <f>IF(AND(ISNUMBER(P9),ISNUMBER(O9)),P9/O9*1000,"")</f>
        <v/>
      </c>
      <c r="R9" s="4" t="inlineStr">
        <is>
          <t>precipitación</t>
        </is>
      </c>
      <c r="S9" s="4" t="inlineStr">
        <is>
          <t>diaria</t>
        </is>
      </c>
      <c r="T9" s="4" t="n"/>
      <c r="U9" s="4" t="n"/>
      <c r="V9" s="4" t="n"/>
      <c r="W9" s="4" t="inlineStr">
        <is>
          <t>GWR</t>
        </is>
      </c>
      <c r="X9" s="4" t="inlineStr">
        <is>
          <t>RNA</t>
        </is>
      </c>
      <c r="Y9" s="4" t="n">
        <v>1</v>
      </c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>
        <f>IF(AND(ISNUMBER(AD9),ISNUMBER(AE9)),LN(AD9/AE9),"")</f>
        <v/>
      </c>
      <c r="AQ9" s="4">
        <f>IF(ISNUMBER(AC9),1/AC9,"")</f>
        <v/>
      </c>
      <c r="AR9" s="4" t="n"/>
      <c r="AS9" s="4" t="n"/>
      <c r="AT9" s="4" t="n"/>
    </row>
    <row r="10">
      <c r="A10" s="4" t="inlineStr">
        <is>
          <t>lu2023</t>
        </is>
      </c>
      <c r="B10" s="4" t="inlineStr">
        <is>
          <t>lu2023_a</t>
        </is>
      </c>
      <c r="C10" s="4" t="inlineStr">
        <is>
          <t>Incluido</t>
        </is>
      </c>
      <c r="D10" s="4" t="inlineStr">
        <is>
          <t>Quantitative Precipitation Estimation in the Tianshan Mountains Based on Machine Learning</t>
        </is>
      </c>
      <c r="E10" s="4" t="n">
        <v>2023</v>
      </c>
      <c r="F10" s="4" t="inlineStr">
        <is>
          <t>https://doi.org/10.3390/rs15163962</t>
        </is>
      </c>
      <c r="G10" s="4" t="n"/>
      <c r="H10" s="4" t="n"/>
      <c r="I10" s="4" t="inlineStr">
        <is>
          <t>China</t>
        </is>
      </c>
      <c r="J10" s="4" t="inlineStr">
        <is>
          <t>Montañas Tianshan</t>
        </is>
      </c>
      <c r="K10" s="4" t="n">
        <v>0</v>
      </c>
      <c r="L10" s="4" t="n">
        <v>-152</v>
      </c>
      <c r="M10" s="4" t="n">
        <v>3616</v>
      </c>
      <c r="N10" s="4" t="n"/>
      <c r="O10" s="4" t="n"/>
      <c r="P10" s="4" t="n">
        <v>1067</v>
      </c>
      <c r="Q10" s="4">
        <f>IF(AND(ISNUMBER(P10),ISNUMBER(O10)),P10/O10*1000,"")</f>
        <v/>
      </c>
      <c r="R10" s="4" t="inlineStr">
        <is>
          <t>precipitación</t>
        </is>
      </c>
      <c r="S10" s="4" t="inlineStr">
        <is>
          <t>mensual</t>
        </is>
      </c>
      <c r="T10" s="4" t="inlineStr">
        <is>
          <t>2014–2017 (mayo–septiembre)</t>
        </is>
      </c>
      <c r="U10" s="4" t="inlineStr">
        <is>
          <t>IMERG, NDVI, elevación, pendiente, orientación, curvatura, TWI, sombreado</t>
        </is>
      </c>
      <c r="V10" s="4" t="inlineStr">
        <is>
          <t>IMERG</t>
        </is>
      </c>
      <c r="W10" s="4" t="inlineStr">
        <is>
          <t>GWR</t>
        </is>
      </c>
      <c r="X10" s="4" t="inlineStr">
        <is>
          <t>RF</t>
        </is>
      </c>
      <c r="Y10" s="4" t="n"/>
      <c r="Z10" s="4" t="n"/>
      <c r="AA10" s="4" t="inlineStr">
        <is>
          <t>estaciones independientes</t>
        </is>
      </c>
      <c r="AB10" s="4" t="n"/>
      <c r="AC10" s="4" t="n">
        <v>96</v>
      </c>
      <c r="AD10" s="4" t="n">
        <v>20.94</v>
      </c>
      <c r="AE10" s="4" t="n">
        <v>19.81</v>
      </c>
      <c r="AF10" s="4" t="inlineStr">
        <is>
          <t>mm/mes</t>
        </is>
      </c>
      <c r="AG10" s="4" t="n">
        <v>13.8</v>
      </c>
      <c r="AH10" s="4" t="n">
        <v>12.83</v>
      </c>
      <c r="AI10" s="4" t="n"/>
      <c r="AJ10" s="4" t="n"/>
      <c r="AK10" s="4" t="n"/>
      <c r="AL10" s="4" t="n"/>
      <c r="AM10" s="4" t="n"/>
      <c r="AN10" s="4" t="n"/>
      <c r="AO10" s="4" t="n"/>
      <c r="AP10" s="4">
        <f>IF(AND(ISNUMBER(AD10),ISNUMBER(AE10)),LN(AD10/AE10),"")</f>
        <v/>
      </c>
      <c r="AQ10" s="4">
        <f>IF(ISNUMBER(AC10),1/AC10,"")</f>
        <v/>
      </c>
      <c r="AR10" s="4" t="inlineStr">
        <is>
          <t>Bajo</t>
        </is>
      </c>
      <c r="AS10" s="4" t="n"/>
      <c r="AT10" s="4" t="inlineStr">
        <is>
          <t>Revisado a texto completo (13/10/2026). 57 estaciones nacionales y más de 1000 automáticas; 10 % independientes. Por altitud, RF gana bajo 3000 m; sobre 3000 m (14 estaciones) RMSE GWR 36,29 y RF 33,07. NSE: GWR 0,62, RF 0,66.</t>
        </is>
      </c>
    </row>
    <row r="11">
      <c r="A11" s="4" t="inlineStr">
        <is>
          <t>orellanasamaniego2021</t>
        </is>
      </c>
      <c r="B11" s="4" t="inlineStr">
        <is>
          <t>orellanasamaniego2021_a</t>
        </is>
      </c>
      <c r="C11" s="4" t="inlineStr">
        <is>
          <t>En evaluación</t>
        </is>
      </c>
      <c r="D11" s="4" t="inlineStr">
        <is>
          <t>Estimating monthly air temperature using remote sensing on a region with highly variable topography and scarce monitoring in the southern Ecuadorian Andes</t>
        </is>
      </c>
      <c r="E11" s="4" t="n">
        <v>2021</v>
      </c>
      <c r="F11" s="4" t="inlineStr">
        <is>
          <t>https://doi.org/10.1007/s00704-021-03583-3</t>
        </is>
      </c>
      <c r="G11" s="4" t="n"/>
      <c r="H11" s="4" t="n"/>
      <c r="I11" s="4" t="inlineStr">
        <is>
          <t>Ecuador</t>
        </is>
      </c>
      <c r="J11" s="4" t="inlineStr">
        <is>
          <t>Andes del sur de Ecuador</t>
        </is>
      </c>
      <c r="K11" s="4" t="n">
        <v>1</v>
      </c>
      <c r="L11" s="4" t="n"/>
      <c r="M11" s="4" t="n"/>
      <c r="N11" s="4" t="n"/>
      <c r="O11" s="4" t="n"/>
      <c r="P11" s="4" t="n"/>
      <c r="Q11" s="4">
        <f>IF(AND(ISNUMBER(P11),ISNUMBER(O11)),P11/O11*1000,"")</f>
        <v/>
      </c>
      <c r="R11" s="4" t="inlineStr">
        <is>
          <t>temperatura</t>
        </is>
      </c>
      <c r="S11" s="4" t="inlineStr">
        <is>
          <t>mensual</t>
        </is>
      </c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>
        <f>IF(AND(ISNUMBER(AD11),ISNUMBER(AE11)),LN(AD11/AE11),"")</f>
        <v/>
      </c>
      <c r="AQ11" s="4">
        <f>IF(ISNUMBER(AC11),1/AC11,"")</f>
        <v/>
      </c>
      <c r="AR11" s="4" t="n"/>
      <c r="AS11" s="4" t="n"/>
      <c r="AT11" s="4" t="n"/>
    </row>
    <row r="12">
      <c r="A12" s="4" t="inlineStr">
        <is>
          <t>he2023</t>
        </is>
      </c>
      <c r="B12" s="4" t="inlineStr">
        <is>
          <t>he2023_a</t>
        </is>
      </c>
      <c r="C12" s="4" t="inlineStr">
        <is>
          <t>En evaluación</t>
        </is>
      </c>
      <c r="D12" s="4" t="inlineStr">
        <is>
          <t>A multiple-step scheme for the improvement of satellite precipitation products over the Tibetan Plateau from multisource information</t>
        </is>
      </c>
      <c r="E12" s="4" t="n">
        <v>2023</v>
      </c>
      <c r="F12" s="4" t="inlineStr">
        <is>
          <t>https://doi.org/10.1016/j.scitotenv.2023.162378</t>
        </is>
      </c>
      <c r="G12" s="4" t="n"/>
      <c r="H12" s="4" t="n"/>
      <c r="I12" s="4" t="inlineStr">
        <is>
          <t>China</t>
        </is>
      </c>
      <c r="J12" s="4" t="inlineStr">
        <is>
          <t>Meseta Tibetana</t>
        </is>
      </c>
      <c r="K12" s="4" t="n">
        <v>0</v>
      </c>
      <c r="L12" s="4" t="n"/>
      <c r="M12" s="4" t="n"/>
      <c r="N12" s="4" t="n"/>
      <c r="O12" s="4" t="n"/>
      <c r="P12" s="4" t="n"/>
      <c r="Q12" s="4">
        <f>IF(AND(ISNUMBER(P12),ISNUMBER(O12)),P12/O12*1000,"")</f>
        <v/>
      </c>
      <c r="R12" s="4" t="inlineStr">
        <is>
          <t>precipitación</t>
        </is>
      </c>
      <c r="S12" s="4" t="n"/>
      <c r="T12" s="4" t="n"/>
      <c r="U12" s="4" t="n"/>
      <c r="V12" s="4" t="inlineStr">
        <is>
          <t>GPM</t>
        </is>
      </c>
      <c r="W12" s="4" t="inlineStr">
        <is>
          <t>GWR</t>
        </is>
      </c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>
        <f>IF(AND(ISNUMBER(AD12),ISNUMBER(AE12)),LN(AD12/AE12),"")</f>
        <v/>
      </c>
      <c r="AQ12" s="4">
        <f>IF(ISNUMBER(AC12),1/AC12,"")</f>
        <v/>
      </c>
      <c r="AR12" s="4" t="n"/>
      <c r="AS12" s="4" t="n"/>
      <c r="AT12" s="4" t="n"/>
    </row>
    <row r="13">
      <c r="A13" s="4" t="inlineStr">
        <is>
          <t>ahmed2026</t>
        </is>
      </c>
      <c r="B13" s="4" t="inlineStr">
        <is>
          <t>ahmed2026_a</t>
        </is>
      </c>
      <c r="C13" s="4" t="inlineStr">
        <is>
          <t>En evaluación</t>
        </is>
      </c>
      <c r="D13" s="4" t="inlineStr">
        <is>
          <t>Enhanced spatial precipitation maps by integrating XGBoost machine learning, terrain indices, and optimal interpolation</t>
        </is>
      </c>
      <c r="E13" s="4" t="n">
        <v>2026</v>
      </c>
      <c r="F13" s="4" t="inlineStr">
        <is>
          <t>https://doi.org/10.1007/s00704-026-06177-z</t>
        </is>
      </c>
      <c r="G13" s="4" t="n"/>
      <c r="H13" s="4" t="n"/>
      <c r="I13" s="4" t="inlineStr">
        <is>
          <t>Irak</t>
        </is>
      </c>
      <c r="J13" s="4" t="n"/>
      <c r="K13" s="4" t="n">
        <v>0</v>
      </c>
      <c r="L13" s="4" t="n"/>
      <c r="M13" s="4" t="n"/>
      <c r="N13" s="4" t="n"/>
      <c r="O13" s="4" t="n"/>
      <c r="P13" s="4" t="n"/>
      <c r="Q13" s="4">
        <f>IF(AND(ISNUMBER(P13),ISNUMBER(O13)),P13/O13*1000,"")</f>
        <v/>
      </c>
      <c r="R13" s="4" t="inlineStr">
        <is>
          <t>precipitación</t>
        </is>
      </c>
      <c r="S13" s="4" t="n"/>
      <c r="T13" s="4" t="n"/>
      <c r="U13" s="4" t="n"/>
      <c r="V13" s="4" t="n"/>
      <c r="W13" s="4" t="inlineStr">
        <is>
          <t>KO; kriging bayesiano empírico</t>
        </is>
      </c>
      <c r="X13" s="4" t="inlineStr">
        <is>
          <t>XGBoost</t>
        </is>
      </c>
      <c r="Y13" s="4" t="n"/>
      <c r="Z13" s="4" t="n"/>
      <c r="AA13" s="4" t="inlineStr">
        <is>
          <t>leave-one-out</t>
        </is>
      </c>
      <c r="AB13" s="4" t="n"/>
      <c r="AC13" s="4" t="n"/>
      <c r="AD13" s="4" t="n"/>
      <c r="AE13" s="4" t="n"/>
      <c r="AF13" s="4" t="inlineStr">
        <is>
          <t>mm</t>
        </is>
      </c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>
        <f>IF(AND(ISNUMBER(AD13),ISNUMBER(AE13)),LN(AD13/AE13),"")</f>
        <v/>
      </c>
      <c r="AQ13" s="4">
        <f>IF(ISNUMBER(AC13),1/AC13,"")</f>
        <v/>
      </c>
      <c r="AR13" s="4" t="n"/>
      <c r="AS13" s="4" t="n"/>
      <c r="AT13" s="4" t="inlineStr">
        <is>
          <t>Resumen: EBK RMSE = 82,49 mm; KO RMSE = 87,06 mm</t>
        </is>
      </c>
    </row>
    <row r="14">
      <c r="A14" s="4" t="inlineStr">
        <is>
          <t>jiang2026</t>
        </is>
      </c>
      <c r="B14" s="4" t="inlineStr">
        <is>
          <t>jiang2026_a</t>
        </is>
      </c>
      <c r="C14" s="4" t="inlineStr">
        <is>
          <t>En evaluación</t>
        </is>
      </c>
      <c r="D14" s="4" t="inlineStr">
        <is>
          <t>Comparative analysis of spatial interpolation methods for daily rainfall data in complex terrain</t>
        </is>
      </c>
      <c r="E14" s="4" t="n">
        <v>2026</v>
      </c>
      <c r="F14" s="4" t="inlineStr">
        <is>
          <t>https://doi.org/10.1007/s00704-026-06041-0</t>
        </is>
      </c>
      <c r="G14" s="4" t="n"/>
      <c r="H14" s="4" t="n"/>
      <c r="I14" s="4" t="inlineStr">
        <is>
          <t>China</t>
        </is>
      </c>
      <c r="J14" s="4" t="inlineStr">
        <is>
          <t>Meseta de Loess</t>
        </is>
      </c>
      <c r="K14" s="4" t="n">
        <v>0</v>
      </c>
      <c r="L14" s="4" t="n"/>
      <c r="M14" s="4" t="n"/>
      <c r="N14" s="4" t="n"/>
      <c r="O14" s="4" t="n"/>
      <c r="P14" s="4" t="n">
        <v>384</v>
      </c>
      <c r="Q14" s="4">
        <f>IF(AND(ISNUMBER(P14),ISNUMBER(O14)),P14/O14*1000,"")</f>
        <v/>
      </c>
      <c r="R14" s="4" t="inlineStr">
        <is>
          <t>precipitación</t>
        </is>
      </c>
      <c r="S14" s="4" t="inlineStr">
        <is>
          <t>diaria</t>
        </is>
      </c>
      <c r="T14" s="4" t="inlineStr">
        <is>
          <t>1980–2020</t>
        </is>
      </c>
      <c r="U14" s="4" t="inlineStr">
        <is>
          <t>elevación SRTM</t>
        </is>
      </c>
      <c r="V14" s="4" t="n"/>
      <c r="W14" s="4" t="inlineStr">
        <is>
          <t>CoK</t>
        </is>
      </c>
      <c r="X14" s="4" t="inlineStr">
        <is>
          <t>RF; SVM; otro (GPR)</t>
        </is>
      </c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>
        <f>IF(AND(ISNUMBER(AD14),ISNUMBER(AE14)),LN(AD14/AE14),"")</f>
        <v/>
      </c>
      <c r="AQ14" s="4">
        <f>IF(ISNUMBER(AC14),1/AC14,"")</f>
        <v/>
      </c>
      <c r="AR14" s="4" t="n"/>
      <c r="AS14" s="4" t="n"/>
      <c r="AT14" s="4" t="n"/>
    </row>
    <row r="15">
      <c r="A15" s="4" t="inlineStr">
        <is>
          <t>zhang2025</t>
        </is>
      </c>
      <c r="B15" s="4" t="inlineStr">
        <is>
          <t>zhang2025_a</t>
        </is>
      </c>
      <c r="C15" s="4" t="inlineStr">
        <is>
          <t>En evaluación</t>
        </is>
      </c>
      <c r="D15" s="4" t="inlineStr">
        <is>
          <t>Distributed Modeling for Daily Mean Air Temperature of Fujian Province Under Rugged Terrain With Different Land Surface Types</t>
        </is>
      </c>
      <c r="E15" s="4" t="n">
        <v>2025</v>
      </c>
      <c r="F15" s="4" t="inlineStr">
        <is>
          <t>https://www.scopus.com/pages/publications/105019553610</t>
        </is>
      </c>
      <c r="G15" s="4" t="n"/>
      <c r="H15" s="4" t="n"/>
      <c r="I15" s="4" t="inlineStr">
        <is>
          <t>China</t>
        </is>
      </c>
      <c r="J15" s="4" t="inlineStr">
        <is>
          <t>Fujian</t>
        </is>
      </c>
      <c r="K15" s="4" t="n">
        <v>0</v>
      </c>
      <c r="L15" s="4" t="n"/>
      <c r="M15" s="4" t="n"/>
      <c r="N15" s="4" t="n"/>
      <c r="O15" s="4" t="n"/>
      <c r="P15" s="4" t="n"/>
      <c r="Q15" s="4">
        <f>IF(AND(ISNUMBER(P15),ISNUMBER(O15)),P15/O15*1000,"")</f>
        <v/>
      </c>
      <c r="R15" s="4" t="inlineStr">
        <is>
          <t>temperatura</t>
        </is>
      </c>
      <c r="S15" s="4" t="inlineStr">
        <is>
          <t>diaria</t>
        </is>
      </c>
      <c r="T15" s="4" t="n"/>
      <c r="U15" s="4" t="n"/>
      <c r="V15" s="4" t="inlineStr">
        <is>
          <t>ERA5</t>
        </is>
      </c>
      <c r="W15" s="4" t="inlineStr">
        <is>
          <t>kriging</t>
        </is>
      </c>
      <c r="X15" s="4" t="inlineStr">
        <is>
          <t>otro (CatBoost)</t>
        </is>
      </c>
      <c r="Y15" s="4" t="n"/>
      <c r="Z15" s="4" t="n"/>
      <c r="AA15" s="4" t="inlineStr">
        <is>
          <t>estaciones independientes</t>
        </is>
      </c>
      <c r="AB15" s="4" t="n"/>
      <c r="AC15" s="4" t="n"/>
      <c r="AD15" s="4" t="n">
        <v>1.79</v>
      </c>
      <c r="AE15" s="4" t="n">
        <v>1.21</v>
      </c>
      <c r="AF15" s="4" t="inlineStr">
        <is>
          <t>°C</t>
        </is>
      </c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>
        <f>IF(AND(ISNUMBER(AD15),ISNUMBER(AE15)),LN(AD15/AE15),"")</f>
        <v/>
      </c>
      <c r="AQ15" s="4">
        <f>IF(ISNUMBER(AC15),1/AC15,"")</f>
        <v/>
      </c>
      <c r="AR15" s="4" t="n"/>
      <c r="AS15" s="4" t="n"/>
      <c r="AT15" s="4" t="inlineStr">
        <is>
          <t>RMSE del resumen frente a estaciones automáticas; verificar n_validacion. Primer autor por confirmar</t>
        </is>
      </c>
    </row>
    <row r="16">
      <c r="A16" s="4" t="inlineStr">
        <is>
          <t>achite2023</t>
        </is>
      </c>
      <c r="B16" s="4" t="inlineStr">
        <is>
          <t>achite2023_a</t>
        </is>
      </c>
      <c r="C16" s="4" t="inlineStr">
        <is>
          <t>En evaluación</t>
        </is>
      </c>
      <c r="D16" s="4" t="inlineStr">
        <is>
          <t>Application of multiple spatial interpolation approaches to annual rainfall data in the Wadi Cheliff basin (north Algeria)</t>
        </is>
      </c>
      <c r="E16" s="4" t="n">
        <v>2023</v>
      </c>
      <c r="F16" s="4" t="inlineStr">
        <is>
          <t>https://doi.org/10.1016/j.asej.2023.102578</t>
        </is>
      </c>
      <c r="G16" s="4" t="n"/>
      <c r="H16" s="4" t="n"/>
      <c r="I16" s="4" t="inlineStr">
        <is>
          <t>Argelia</t>
        </is>
      </c>
      <c r="J16" s="4" t="inlineStr">
        <is>
          <t>Cuenca Wadi Cheliff</t>
        </is>
      </c>
      <c r="K16" s="4" t="n">
        <v>0</v>
      </c>
      <c r="L16" s="4" t="n"/>
      <c r="M16" s="4" t="n"/>
      <c r="N16" s="4" t="n"/>
      <c r="O16" s="4" t="n"/>
      <c r="P16" s="4" t="n">
        <v>150</v>
      </c>
      <c r="Q16" s="4">
        <f>IF(AND(ISNUMBER(P16),ISNUMBER(O16)),P16/O16*1000,"")</f>
        <v/>
      </c>
      <c r="R16" s="4" t="inlineStr">
        <is>
          <t>precipitación</t>
        </is>
      </c>
      <c r="S16" s="4" t="inlineStr">
        <is>
          <t>anual</t>
        </is>
      </c>
      <c r="T16" s="4" t="n"/>
      <c r="U16" s="4" t="n"/>
      <c r="V16" s="4" t="n"/>
      <c r="W16" s="4" t="n"/>
      <c r="X16" s="4" t="inlineStr">
        <is>
          <t>RF</t>
        </is>
      </c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>
        <f>IF(AND(ISNUMBER(AD16),ISNUMBER(AE16)),LN(AD16/AE16),"")</f>
        <v/>
      </c>
      <c r="AQ16" s="4">
        <f>IF(ISNUMBER(AC16),1/AC16,"")</f>
        <v/>
      </c>
      <c r="AR16" s="4" t="n"/>
      <c r="AS16" s="4" t="n"/>
      <c r="AT16" s="4" t="inlineStr">
        <is>
          <t>Resumen: RF RMSE de entrenamiento 24,98; revisar métricas de validación</t>
        </is>
      </c>
    </row>
    <row r="17">
      <c r="A17" s="4" t="inlineStr">
        <is>
          <t>arganaraz2025</t>
        </is>
      </c>
      <c r="B17" s="4" t="inlineStr">
        <is>
          <t>arganaraz2025_a</t>
        </is>
      </c>
      <c r="C17" s="4" t="inlineStr">
        <is>
          <t>En evaluación</t>
        </is>
      </c>
      <c r="D17" s="4" t="inlineStr">
        <is>
          <t>Building a High-Resolution Climate Gridded Dataset in Complex Terrain: Validating Different Methods in the Abruzzo Region in Italy</t>
        </is>
      </c>
      <c r="E17" s="4" t="n">
        <v>2025</v>
      </c>
      <c r="F17" s="4" t="inlineStr">
        <is>
          <t>https://doi.org/10.1002/joc.70153</t>
        </is>
      </c>
      <c r="G17" s="4" t="n"/>
      <c r="H17" s="4" t="n"/>
      <c r="I17" s="4" t="inlineStr">
        <is>
          <t>Italia</t>
        </is>
      </c>
      <c r="J17" s="4" t="inlineStr">
        <is>
          <t>Abruzzo</t>
        </is>
      </c>
      <c r="K17" s="4" t="n">
        <v>0</v>
      </c>
      <c r="L17" s="4" t="n"/>
      <c r="M17" s="4" t="n"/>
      <c r="N17" s="4" t="n"/>
      <c r="O17" s="4" t="n"/>
      <c r="P17" s="4" t="n"/>
      <c r="Q17" s="4">
        <f>IF(AND(ISNUMBER(P17),ISNUMBER(O17)),P17/O17*1000,"")</f>
        <v/>
      </c>
      <c r="R17" s="4" t="inlineStr">
        <is>
          <t>precipitación; temperatura</t>
        </is>
      </c>
      <c r="S17" s="4" t="inlineStr">
        <is>
          <t>diaria</t>
        </is>
      </c>
      <c r="T17" s="4" t="inlineStr">
        <is>
          <t>1994–2013</t>
        </is>
      </c>
      <c r="U17" s="4" t="n"/>
      <c r="V17" s="4" t="n"/>
      <c r="W17" s="4" t="inlineStr">
        <is>
          <t>KU</t>
        </is>
      </c>
      <c r="X17" s="4" t="inlineStr">
        <is>
          <t>otro (gradient boosting forest)</t>
        </is>
      </c>
      <c r="Y17" s="4" t="n"/>
      <c r="Z17" s="4" t="n"/>
      <c r="AA17" s="4" t="inlineStr">
        <is>
          <t>estaciones independientes</t>
        </is>
      </c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>
        <f>IF(AND(ISNUMBER(AD17),ISNUMBER(AE17)),LN(AD17/AE17),"")</f>
        <v/>
      </c>
      <c r="AQ17" s="4">
        <f>IF(ISNUMBER(AC17),1/AC17,"")</f>
        <v/>
      </c>
      <c r="AR17" s="4" t="n"/>
      <c r="AS17" s="4" t="n"/>
      <c r="AT17" s="4" t="inlineStr">
        <is>
          <t>Resumen: KU RMSE ≈ 0,45 mm/día y ≈ 1,2 °C; dos comparaciones (precipitación y temperatura)</t>
        </is>
      </c>
    </row>
    <row r="18">
      <c r="A18" s="4" t="inlineStr">
        <is>
          <t>zhao2021</t>
        </is>
      </c>
      <c r="B18" s="4" t="inlineStr">
        <is>
          <t>zhao2021_a</t>
        </is>
      </c>
      <c r="C18" s="4" t="inlineStr">
        <is>
          <t>Incluido (híbrido)</t>
        </is>
      </c>
      <c r="D18" s="4" t="inlineStr">
        <is>
          <t>An efficient downscaling scheme for high-resolution precipitation estimates over a high mountainous watershed</t>
        </is>
      </c>
      <c r="E18" s="4" t="n">
        <v>2021</v>
      </c>
      <c r="F18" s="4" t="inlineStr">
        <is>
          <t>https://doi.org/10.3390/rs13020234</t>
        </is>
      </c>
      <c r="G18" s="4" t="n"/>
      <c r="H18" s="4" t="n"/>
      <c r="I18" s="4" t="n"/>
      <c r="J18" s="4" t="n"/>
      <c r="K18" s="4" t="n">
        <v>0</v>
      </c>
      <c r="L18" s="4" t="n">
        <v>872</v>
      </c>
      <c r="M18" s="4" t="n">
        <v>5000</v>
      </c>
      <c r="N18" s="4" t="n"/>
      <c r="O18" s="4" t="n">
        <v>140000</v>
      </c>
      <c r="P18" s="4" t="n">
        <v>13</v>
      </c>
      <c r="Q18" s="4">
        <f>IF(AND(ISNUMBER(P18),ISNUMBER(O18)),P18/O18*1000,"")</f>
        <v/>
      </c>
      <c r="R18" s="4" t="inlineStr">
        <is>
          <t>precipitación</t>
        </is>
      </c>
      <c r="S18" s="4" t="inlineStr">
        <is>
          <t>mensual</t>
        </is>
      </c>
      <c r="T18" s="4" t="n"/>
      <c r="U18" s="4" t="inlineStr">
        <is>
          <t>elevación, pendiente y otras topográficas</t>
        </is>
      </c>
      <c r="V18" s="4" t="inlineStr">
        <is>
          <t>IMERG V06B; WRF</t>
        </is>
      </c>
      <c r="W18" s="4" t="inlineStr">
        <is>
          <t>kriging de residuos</t>
        </is>
      </c>
      <c r="X18" s="4" t="inlineStr">
        <is>
          <t>RF</t>
        </is>
      </c>
      <c r="Y18" s="4" t="n">
        <v>1</v>
      </c>
      <c r="Z18" s="4" t="n"/>
      <c r="AA18" s="4" t="inlineStr">
        <is>
          <t>leave-one-out</t>
        </is>
      </c>
      <c r="AB18" s="4" t="n"/>
      <c r="AC18" s="4" t="n"/>
      <c r="AD18" s="4" t="n"/>
      <c r="AE18" s="4" t="n">
        <v>37.8</v>
      </c>
      <c r="AF18" s="4" t="inlineStr">
        <is>
          <t>mm/mes</t>
        </is>
      </c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>
        <f>IF(AND(ISNUMBER(AD18),ISNUMBER(AE18)),LN(AD18/AE18),"")</f>
        <v/>
      </c>
      <c r="AQ18" s="4">
        <f>IF(ISNUMBER(AC18),1/AC18,"")</f>
        <v/>
      </c>
      <c r="AR18" s="4" t="n"/>
      <c r="AS18" s="4" t="n"/>
      <c r="AT18" s="4" t="inlineStr">
        <is>
          <t>Revisado a texto completo (13/10/2026). Sin brazo geoestadístico puro: RF frente a RF + kriging de residuos con 13 estaciones (RF_Kri13) o 13 + 15 virtuales WRF (RF_Kri28). Julio: RMSE 37,8 (RF), 30,4 (RF_Kri13) y 28,5 (RF_Kri28).</t>
        </is>
      </c>
    </row>
    <row r="19">
      <c r="A19" s="4" t="inlineStr">
        <is>
          <t>luo2026</t>
        </is>
      </c>
      <c r="B19" s="4" t="inlineStr">
        <is>
          <t>luo2026_a</t>
        </is>
      </c>
      <c r="C19" s="4" t="inlineStr">
        <is>
          <t>En evaluación</t>
        </is>
      </c>
      <c r="D19" s="4" t="inlineStr">
        <is>
          <t>Improving the Spatiotemporal Resolution of Satellite Remote Sensing Precipitation in Complex Terrain—Based on the Random Forest Method</t>
        </is>
      </c>
      <c r="E19" s="4" t="n">
        <v>2026</v>
      </c>
      <c r="F19" s="4" t="inlineStr">
        <is>
          <t>https://doi.org/10.1109/jstars.2026.3674178</t>
        </is>
      </c>
      <c r="G19" s="4" t="n"/>
      <c r="H19" s="4" t="n"/>
      <c r="I19" s="4" t="inlineStr">
        <is>
          <t>China</t>
        </is>
      </c>
      <c r="J19" s="4" t="inlineStr">
        <is>
          <t>Yunnan</t>
        </is>
      </c>
      <c r="K19" s="4" t="n">
        <v>0</v>
      </c>
      <c r="L19" s="4" t="n"/>
      <c r="M19" s="4" t="n"/>
      <c r="N19" s="4" t="n"/>
      <c r="O19" s="4" t="n"/>
      <c r="P19" s="4" t="n"/>
      <c r="Q19" s="4">
        <f>IF(AND(ISNUMBER(P19),ISNUMBER(O19)),P19/O19*1000,"")</f>
        <v/>
      </c>
      <c r="R19" s="4" t="inlineStr">
        <is>
          <t>precipitación</t>
        </is>
      </c>
      <c r="S19" s="4" t="n"/>
      <c r="T19" s="4" t="inlineStr">
        <is>
          <t>2021–2023</t>
        </is>
      </c>
      <c r="U19" s="4" t="n"/>
      <c r="V19" s="4" t="inlineStr">
        <is>
          <t>IMERG</t>
        </is>
      </c>
      <c r="W19" s="4" t="inlineStr">
        <is>
          <t>CoK</t>
        </is>
      </c>
      <c r="X19" s="4" t="inlineStr">
        <is>
          <t>RF</t>
        </is>
      </c>
      <c r="Y19" s="4" t="n">
        <v>1</v>
      </c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>
        <f>IF(AND(ISNUMBER(AD19),ISNUMBER(AE19)),LN(AD19/AE19),"")</f>
        <v/>
      </c>
      <c r="AQ19" s="4">
        <f>IF(ISNUMBER(AC19),1/AC19,"")</f>
        <v/>
      </c>
      <c r="AR19" s="4" t="n"/>
      <c r="AS19" s="4" t="n"/>
      <c r="AT19" s="4" t="n"/>
    </row>
    <row r="20">
      <c r="A20" s="4" t="inlineStr">
        <is>
          <t>noor2023</t>
        </is>
      </c>
      <c r="B20" s="4" t="inlineStr">
        <is>
          <t>noor2023_a</t>
        </is>
      </c>
      <c r="C20" s="4" t="inlineStr">
        <is>
          <t>Excluido</t>
        </is>
      </c>
      <c r="D20" s="4" t="inlineStr">
        <is>
          <t>Combining APHRODITE Rain Gauges-Based Precipitation with Downscaled-TRMM Data to Translate High-Resolution Precipitation Estimates in the Indus Basin</t>
        </is>
      </c>
      <c r="E20" s="4" t="n">
        <v>2023</v>
      </c>
      <c r="F20" s="4" t="inlineStr">
        <is>
          <t>https://doi.org/10.3390/rs15020318</t>
        </is>
      </c>
      <c r="G20" s="4" t="n"/>
      <c r="H20" s="4" t="n"/>
      <c r="I20" s="4" t="inlineStr">
        <is>
          <t>Pakistán</t>
        </is>
      </c>
      <c r="J20" s="4" t="inlineStr">
        <is>
          <t>Cuenca del Indo</t>
        </is>
      </c>
      <c r="K20" s="4" t="n">
        <v>0</v>
      </c>
      <c r="L20" s="4" t="n">
        <v>0</v>
      </c>
      <c r="M20" s="4" t="n">
        <v>8000</v>
      </c>
      <c r="N20" s="4" t="n"/>
      <c r="O20" s="4" t="n">
        <v>1120000</v>
      </c>
      <c r="P20" s="4" t="n">
        <v>60</v>
      </c>
      <c r="Q20" s="4">
        <f>IF(AND(ISNUMBER(P20),ISNUMBER(O20)),P20/O20*1000,"")</f>
        <v/>
      </c>
      <c r="R20" s="4" t="inlineStr">
        <is>
          <t>precipitación</t>
        </is>
      </c>
      <c r="S20" s="4" t="n"/>
      <c r="T20" s="4" t="n"/>
      <c r="U20" s="4" t="inlineStr">
        <is>
          <t>ET, viento, elevación, pendiente, NDVI, nubosidad, LST</t>
        </is>
      </c>
      <c r="V20" s="4" t="inlineStr">
        <is>
          <t>TRMM; APHRODITE</t>
        </is>
      </c>
      <c r="W20" s="4" t="inlineStr">
        <is>
          <t>MGWR</t>
        </is>
      </c>
      <c r="X20" s="4" t="inlineStr">
        <is>
          <t>RF</t>
        </is>
      </c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>
        <f>IF(AND(ISNUMBER(AD20),ISNUMBER(AE20)),LN(AD20/AE20),"")</f>
        <v/>
      </c>
      <c r="AQ20" s="4">
        <f>IF(ISNUMBER(AC20),1/AC20,"")</f>
        <v/>
      </c>
      <c r="AR20" s="4" t="n"/>
      <c r="AS20" s="4" t="n"/>
      <c r="AT20" s="4" t="inlineStr">
        <is>
          <t>Revisado a texto completo (13/10/2026). Excluir: MGWR frente a RF se evalúa contra la malla TRMM (MSE MGWR 38–79 y RF 120–163 mm/año), no contra estaciones; los 60 pluviómetros solo validan el producto final MGWR. 23 pluviómetros sobre 1000 m.</t>
        </is>
      </c>
    </row>
    <row r="21">
      <c r="A21" s="4" t="inlineStr">
        <is>
          <t>he2026</t>
        </is>
      </c>
      <c r="B21" s="4" t="inlineStr">
        <is>
          <t>he2026_a</t>
        </is>
      </c>
      <c r="C21" s="4" t="inlineStr">
        <is>
          <t>En evaluación</t>
        </is>
      </c>
      <c r="D21" s="4" t="inlineStr">
        <is>
          <t>Spatiotemporal Variation of Air Temperature in the Dry Valleys of Southwest China from 1990 to 2020 Based on a GWR–XGBoost Downscaling Method</t>
        </is>
      </c>
      <c r="E21" s="4" t="n">
        <v>2026</v>
      </c>
      <c r="F21" s="4" t="inlineStr">
        <is>
          <t>(sin DOI en OpenAlex)</t>
        </is>
      </c>
      <c r="G21" s="4" t="n"/>
      <c r="H21" s="4" t="n"/>
      <c r="I21" s="4" t="inlineStr">
        <is>
          <t>China</t>
        </is>
      </c>
      <c r="J21" s="4" t="inlineStr">
        <is>
          <t>Valles secos del suroeste</t>
        </is>
      </c>
      <c r="K21" s="4" t="n">
        <v>0</v>
      </c>
      <c r="L21" s="4" t="n"/>
      <c r="M21" s="4" t="n"/>
      <c r="N21" s="4" t="n"/>
      <c r="O21" s="4" t="n"/>
      <c r="P21" s="4" t="n"/>
      <c r="Q21" s="4">
        <f>IF(AND(ISNUMBER(P21),ISNUMBER(O21)),P21/O21*1000,"")</f>
        <v/>
      </c>
      <c r="R21" s="4" t="inlineStr">
        <is>
          <t>temperatura</t>
        </is>
      </c>
      <c r="S21" s="4" t="n"/>
      <c r="T21" s="4" t="n"/>
      <c r="U21" s="4" t="n"/>
      <c r="V21" s="4" t="n"/>
      <c r="W21" s="4" t="inlineStr">
        <is>
          <t>GWR</t>
        </is>
      </c>
      <c r="X21" s="4" t="inlineStr">
        <is>
          <t>XGBoost</t>
        </is>
      </c>
      <c r="Y21" s="4" t="n">
        <v>1</v>
      </c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>
        <f>IF(AND(ISNUMBER(AD21),ISNUMBER(AE21)),LN(AD21/AE21),"")</f>
        <v/>
      </c>
      <c r="AQ21" s="4">
        <f>IF(ISNUMBER(AC21),1/AC21,"")</f>
        <v/>
      </c>
      <c r="AR21" s="4" t="n"/>
      <c r="AS21" s="4" t="n"/>
      <c r="AT21" s="4" t="n"/>
    </row>
    <row r="22">
      <c r="A22" s="4" t="inlineStr">
        <is>
          <t>wang2024</t>
        </is>
      </c>
      <c r="B22" s="4" t="inlineStr">
        <is>
          <t>wang2024_a</t>
        </is>
      </c>
      <c r="C22" s="4" t="inlineStr">
        <is>
          <t>Incluido (híbrido)</t>
        </is>
      </c>
      <c r="D22" s="4" t="inlineStr">
        <is>
          <t>Mapping 30-m Resolution Bioclimatic Variables During 1991-2020 Climate Normals for Hubei Province, the Yangtze River Middle Reaches</t>
        </is>
      </c>
      <c r="E22" s="4" t="n">
        <v>2024</v>
      </c>
      <c r="F22" s="4" t="inlineStr">
        <is>
          <t>https://doi.org/10.1109/jstars.2024.3358829</t>
        </is>
      </c>
      <c r="G22" s="4" t="n"/>
      <c r="H22" s="4" t="n"/>
      <c r="I22" s="4" t="inlineStr">
        <is>
          <t>China</t>
        </is>
      </c>
      <c r="J22" s="4" t="inlineStr">
        <is>
          <t>Hubei</t>
        </is>
      </c>
      <c r="K22" s="4" t="n">
        <v>0</v>
      </c>
      <c r="L22" s="4" t="n"/>
      <c r="M22" s="4" t="n"/>
      <c r="N22" s="4" t="n"/>
      <c r="O22" s="4" t="n">
        <v>185900</v>
      </c>
      <c r="P22" s="4" t="n">
        <v>82</v>
      </c>
      <c r="Q22" s="4">
        <f>IF(AND(ISNUMBER(P22),ISNUMBER(O22)),P22/O22*1000,"")</f>
        <v/>
      </c>
      <c r="R22" s="4" t="inlineStr">
        <is>
          <t>precipitación; temperatura</t>
        </is>
      </c>
      <c r="S22" s="4" t="inlineStr">
        <is>
          <t>mensual</t>
        </is>
      </c>
      <c r="T22" s="4" t="inlineStr">
        <is>
          <t>1991–2020</t>
        </is>
      </c>
      <c r="U22" s="4" t="inlineStr">
        <is>
          <t>elevación SRTM, latitud, longitud</t>
        </is>
      </c>
      <c r="V22" s="4" t="inlineStr">
        <is>
          <t>conjunto climático de 1 km (TPDC)</t>
        </is>
      </c>
      <c r="W22" s="4" t="inlineStr">
        <is>
          <t>KO (calibración de residuos, GDA)</t>
        </is>
      </c>
      <c r="X22" s="4" t="inlineStr">
        <is>
          <t>RF</t>
        </is>
      </c>
      <c r="Y22" s="4" t="n">
        <v>1</v>
      </c>
      <c r="Z22" s="4" t="n"/>
      <c r="AA22" s="4" t="inlineStr">
        <is>
          <t>estaciones independientes</t>
        </is>
      </c>
      <c r="AB22" s="4" t="n"/>
      <c r="AC22" s="4" t="n">
        <v>8</v>
      </c>
      <c r="AD22" s="4" t="n"/>
      <c r="AE22" s="4" t="n">
        <v>45.99</v>
      </c>
      <c r="AF22" s="4" t="inlineStr">
        <is>
          <t>mm/mes</t>
        </is>
      </c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>
        <f>IF(AND(ISNUMBER(AD22),ISNUMBER(AE22)),LN(AD22/AE22),"")</f>
        <v/>
      </c>
      <c r="AQ22" s="4">
        <f>IF(ISNUMBER(AC22),1/AC22,"")</f>
        <v/>
      </c>
      <c r="AR22" s="4" t="n"/>
      <c r="AS22" s="4" t="n"/>
      <c r="AT22" s="4" t="inlineStr">
        <is>
          <t>Revisado a texto completo (13/10/2026). Sin brazo geoestadístico puro: compara RF solo frente a RF+KO. Precipitación: RMSE 45,99 (RF) → 35,48 (RF+KO) y 30,25 (RF+IDW); Tmedia 0,61 → 0,36 °C. Validación con 8 estaciones (2877 datos). Área de Hubei por dato general.</t>
        </is>
      </c>
    </row>
    <row r="23">
      <c r="A23" s="4" t="inlineStr">
        <is>
          <t>jiang2026b</t>
        </is>
      </c>
      <c r="B23" s="4" t="inlineStr">
        <is>
          <t>jiang2026b_a</t>
        </is>
      </c>
      <c r="C23" s="4" t="inlineStr">
        <is>
          <t>En evaluación</t>
        </is>
      </c>
      <c r="D23" s="4" t="inlineStr">
        <is>
          <t>A Spatiotemporal Interpolation Method for Regional Precipitation Data Based on a Spatiotemporal Decay Graph Model</t>
        </is>
      </c>
      <c r="E23" s="4" t="n">
        <v>2026</v>
      </c>
      <c r="F23" s="4" t="inlineStr">
        <is>
          <t>https://www.scopus.com/pages/publications/105045939558</t>
        </is>
      </c>
      <c r="G23" s="4" t="n"/>
      <c r="H23" s="4" t="n"/>
      <c r="I23" s="4" t="inlineStr">
        <is>
          <t>China</t>
        </is>
      </c>
      <c r="J23" s="4" t="inlineStr">
        <is>
          <t>Longnan, Gansu</t>
        </is>
      </c>
      <c r="K23" s="4" t="n">
        <v>0</v>
      </c>
      <c r="L23" s="4" t="n"/>
      <c r="M23" s="4" t="n"/>
      <c r="N23" s="4" t="n"/>
      <c r="O23" s="4" t="n"/>
      <c r="P23" s="4" t="n">
        <v>9</v>
      </c>
      <c r="Q23" s="4">
        <f>IF(AND(ISNUMBER(P23),ISNUMBER(O23)),P23/O23*1000,"")</f>
        <v/>
      </c>
      <c r="R23" s="4" t="inlineStr">
        <is>
          <t>precipitación</t>
        </is>
      </c>
      <c r="S23" s="4" t="inlineStr">
        <is>
          <t>diaria</t>
        </is>
      </c>
      <c r="T23" s="4" t="n"/>
      <c r="U23" s="4" t="n"/>
      <c r="V23" s="4" t="inlineStr">
        <is>
          <t>ERA5; GPCP</t>
        </is>
      </c>
      <c r="W23" s="4" t="inlineStr">
        <is>
          <t>KO; CoK</t>
        </is>
      </c>
      <c r="X23" s="4" t="inlineStr">
        <is>
          <t>RNA (red de grafos)</t>
        </is>
      </c>
      <c r="Y23" s="4" t="n"/>
      <c r="Z23" s="4" t="n"/>
      <c r="AA23" s="4" t="n"/>
      <c r="AB23" s="4" t="n"/>
      <c r="AC23" s="4" t="n"/>
      <c r="AD23" s="4" t="n">
        <v>1.4</v>
      </c>
      <c r="AE23" s="4" t="n">
        <v>1.2</v>
      </c>
      <c r="AF23" s="4" t="inlineStr">
        <is>
          <t>mm/día</t>
        </is>
      </c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>
        <f>IF(AND(ISNUMBER(AD23),ISNUMBER(AE23)),LN(AD23/AE23),"")</f>
        <v/>
      </c>
      <c r="AQ23" s="4">
        <f>IF(ISNUMBER(AC23),1/AC23,"")</f>
        <v/>
      </c>
      <c r="AR23" s="4" t="n"/>
      <c r="AS23" s="4" t="n"/>
      <c r="AT23" s="4" t="inlineStr">
        <is>
          <t>RMSE medio del resumen (estación a estación); primer autor por confirmar</t>
        </is>
      </c>
    </row>
    <row r="24">
      <c r="A24" s="4" t="inlineStr">
        <is>
          <t>rfgwrk2026</t>
        </is>
      </c>
      <c r="B24" s="4" t="inlineStr">
        <is>
          <t>rfgwrk2026_a</t>
        </is>
      </c>
      <c r="C24" s="4" t="inlineStr">
        <is>
          <t>En evaluación</t>
        </is>
      </c>
      <c r="D24" s="4" t="inlineStr">
        <is>
          <t>RFGWRK: A hybrid downscaling framework for high-resolution precipitation mapping in geohazard-prone mountainous regions</t>
        </is>
      </c>
      <c r="E24" s="4" t="n">
        <v>2026</v>
      </c>
      <c r="F24" s="4" t="inlineStr">
        <is>
          <t>(buscar en Scopus)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>
        <f>IF(AND(ISNUMBER(P24),ISNUMBER(O24)),P24/O24*1000,"")</f>
        <v/>
      </c>
      <c r="R24" s="4" t="inlineStr">
        <is>
          <t>precipitación</t>
        </is>
      </c>
      <c r="S24" s="4" t="n"/>
      <c r="T24" s="4" t="n"/>
      <c r="U24" s="4" t="n"/>
      <c r="V24" s="4" t="inlineStr">
        <is>
          <t>IMERG</t>
        </is>
      </c>
      <c r="W24" s="4" t="inlineStr">
        <is>
          <t>GWR; RK</t>
        </is>
      </c>
      <c r="X24" s="4" t="inlineStr">
        <is>
          <t>RF</t>
        </is>
      </c>
      <c r="Y24" s="4" t="n">
        <v>1</v>
      </c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>
        <f>IF(AND(ISNUMBER(AD24),ISNUMBER(AE24)),LN(AD24/AE24),"")</f>
        <v/>
      </c>
      <c r="AQ24" s="4">
        <f>IF(ISNUMBER(AC24),1/AC24,"")</f>
        <v/>
      </c>
      <c r="AR24" s="4" t="n"/>
      <c r="AS24" s="4" t="n"/>
      <c r="AT24" s="4" t="inlineStr">
        <is>
          <t>Autor por confirmar</t>
        </is>
      </c>
    </row>
    <row r="25">
      <c r="Q25">
        <f>IF(AND(ISNUMBER(P25),ISNUMBER(O25)),P25/O25*1000,"")</f>
        <v/>
      </c>
      <c r="AP25">
        <f>IF(AND(ISNUMBER(AD25),ISNUMBER(AE25)),LN(AD25/AE25),"")</f>
        <v/>
      </c>
      <c r="AQ25">
        <f>IF(ISNUMBER(AC25),1/AC25,"")</f>
        <v/>
      </c>
    </row>
    <row r="26">
      <c r="Q26">
        <f>IF(AND(ISNUMBER(P26),ISNUMBER(O26)),P26/O26*1000,"")</f>
        <v/>
      </c>
      <c r="AP26">
        <f>IF(AND(ISNUMBER(AD26),ISNUMBER(AE26)),LN(AD26/AE26),"")</f>
        <v/>
      </c>
      <c r="AQ26">
        <f>IF(ISNUMBER(AC26),1/AC26,"")</f>
        <v/>
      </c>
    </row>
    <row r="27">
      <c r="Q27">
        <f>IF(AND(ISNUMBER(P27),ISNUMBER(O27)),P27/O27*1000,"")</f>
        <v/>
      </c>
      <c r="AP27">
        <f>IF(AND(ISNUMBER(AD27),ISNUMBER(AE27)),LN(AD27/AE27),"")</f>
        <v/>
      </c>
      <c r="AQ27">
        <f>IF(ISNUMBER(AC27),1/AC27,"")</f>
        <v/>
      </c>
    </row>
    <row r="28">
      <c r="Q28">
        <f>IF(AND(ISNUMBER(P28),ISNUMBER(O28)),P28/O28*1000,"")</f>
        <v/>
      </c>
      <c r="AP28">
        <f>IF(AND(ISNUMBER(AD28),ISNUMBER(AE28)),LN(AD28/AE28),"")</f>
        <v/>
      </c>
      <c r="AQ28">
        <f>IF(ISNUMBER(AC28),1/AC28,"")</f>
        <v/>
      </c>
    </row>
    <row r="29">
      <c r="Q29">
        <f>IF(AND(ISNUMBER(P29),ISNUMBER(O29)),P29/O29*1000,"")</f>
        <v/>
      </c>
      <c r="AP29">
        <f>IF(AND(ISNUMBER(AD29),ISNUMBER(AE29)),LN(AD29/AE29),"")</f>
        <v/>
      </c>
      <c r="AQ29">
        <f>IF(ISNUMBER(AC29),1/AC29,"")</f>
        <v/>
      </c>
    </row>
    <row r="30">
      <c r="Q30">
        <f>IF(AND(ISNUMBER(P30),ISNUMBER(O30)),P30/O30*1000,"")</f>
        <v/>
      </c>
      <c r="AP30">
        <f>IF(AND(ISNUMBER(AD30),ISNUMBER(AE30)),LN(AD30/AE30),"")</f>
        <v/>
      </c>
      <c r="AQ30">
        <f>IF(ISNUMBER(AC30),1/AC30,"")</f>
        <v/>
      </c>
    </row>
    <row r="31">
      <c r="Q31">
        <f>IF(AND(ISNUMBER(P31),ISNUMBER(O31)),P31/O31*1000,"")</f>
        <v/>
      </c>
      <c r="AP31">
        <f>IF(AND(ISNUMBER(AD31),ISNUMBER(AE31)),LN(AD31/AE31),"")</f>
        <v/>
      </c>
      <c r="AQ31">
        <f>IF(ISNUMBER(AC31),1/AC31,"")</f>
        <v/>
      </c>
    </row>
    <row r="32">
      <c r="Q32">
        <f>IF(AND(ISNUMBER(P32),ISNUMBER(O32)),P32/O32*1000,"")</f>
        <v/>
      </c>
      <c r="AP32">
        <f>IF(AND(ISNUMBER(AD32),ISNUMBER(AE32)),LN(AD32/AE32),"")</f>
        <v/>
      </c>
      <c r="AQ32">
        <f>IF(ISNUMBER(AC32),1/AC32,"")</f>
        <v/>
      </c>
    </row>
    <row r="33">
      <c r="Q33">
        <f>IF(AND(ISNUMBER(P33),ISNUMBER(O33)),P33/O33*1000,"")</f>
        <v/>
      </c>
      <c r="AP33">
        <f>IF(AND(ISNUMBER(AD33),ISNUMBER(AE33)),LN(AD33/AE33),"")</f>
        <v/>
      </c>
      <c r="AQ33">
        <f>IF(ISNUMBER(AC33),1/AC33,"")</f>
        <v/>
      </c>
    </row>
    <row r="34">
      <c r="Q34">
        <f>IF(AND(ISNUMBER(P34),ISNUMBER(O34)),P34/O34*1000,"")</f>
        <v/>
      </c>
      <c r="AP34">
        <f>IF(AND(ISNUMBER(AD34),ISNUMBER(AE34)),LN(AD34/AE34),"")</f>
        <v/>
      </c>
      <c r="AQ34">
        <f>IF(ISNUMBER(AC34),1/AC34,"")</f>
        <v/>
      </c>
    </row>
    <row r="35">
      <c r="Q35">
        <f>IF(AND(ISNUMBER(P35),ISNUMBER(O35)),P35/O35*1000,"")</f>
        <v/>
      </c>
      <c r="AP35">
        <f>IF(AND(ISNUMBER(AD35),ISNUMBER(AE35)),LN(AD35/AE35),"")</f>
        <v/>
      </c>
      <c r="AQ35">
        <f>IF(ISNUMBER(AC35),1/AC35,"")</f>
        <v/>
      </c>
    </row>
    <row r="36">
      <c r="Q36">
        <f>IF(AND(ISNUMBER(P36),ISNUMBER(O36)),P36/O36*1000,"")</f>
        <v/>
      </c>
      <c r="AP36">
        <f>IF(AND(ISNUMBER(AD36),ISNUMBER(AE36)),LN(AD36/AE36),"")</f>
        <v/>
      </c>
      <c r="AQ36">
        <f>IF(ISNUMBER(AC36),1/AC36,"")</f>
        <v/>
      </c>
    </row>
    <row r="37">
      <c r="Q37">
        <f>IF(AND(ISNUMBER(P37),ISNUMBER(O37)),P37/O37*1000,"")</f>
        <v/>
      </c>
      <c r="AP37">
        <f>IF(AND(ISNUMBER(AD37),ISNUMBER(AE37)),LN(AD37/AE37),"")</f>
        <v/>
      </c>
      <c r="AQ37">
        <f>IF(ISNUMBER(AC37),1/AC37,"")</f>
        <v/>
      </c>
    </row>
    <row r="38">
      <c r="Q38">
        <f>IF(AND(ISNUMBER(P38),ISNUMBER(O38)),P38/O38*1000,"")</f>
        <v/>
      </c>
      <c r="AP38">
        <f>IF(AND(ISNUMBER(AD38),ISNUMBER(AE38)),LN(AD38/AE38),"")</f>
        <v/>
      </c>
      <c r="AQ38">
        <f>IF(ISNUMBER(AC38),1/AC38,"")</f>
        <v/>
      </c>
    </row>
    <row r="39">
      <c r="Q39">
        <f>IF(AND(ISNUMBER(P39),ISNUMBER(O39)),P39/O39*1000,"")</f>
        <v/>
      </c>
      <c r="AP39">
        <f>IF(AND(ISNUMBER(AD39),ISNUMBER(AE39)),LN(AD39/AE39),"")</f>
        <v/>
      </c>
      <c r="AQ39">
        <f>IF(ISNUMBER(AC39),1/AC39,"")</f>
        <v/>
      </c>
    </row>
    <row r="40">
      <c r="Q40">
        <f>IF(AND(ISNUMBER(P40),ISNUMBER(O40)),P40/O40*1000,"")</f>
        <v/>
      </c>
      <c r="AP40">
        <f>IF(AND(ISNUMBER(AD40),ISNUMBER(AE40)),LN(AD40/AE40),"")</f>
        <v/>
      </c>
      <c r="AQ40">
        <f>IF(ISNUMBER(AC40),1/AC40,"")</f>
        <v/>
      </c>
    </row>
    <row r="41">
      <c r="Q41">
        <f>IF(AND(ISNUMBER(P41),ISNUMBER(O41)),P41/O41*1000,"")</f>
        <v/>
      </c>
      <c r="AP41">
        <f>IF(AND(ISNUMBER(AD41),ISNUMBER(AE41)),LN(AD41/AE41),"")</f>
        <v/>
      </c>
      <c r="AQ41">
        <f>IF(ISNUMBER(AC41),1/AC41,"")</f>
        <v/>
      </c>
    </row>
    <row r="42">
      <c r="Q42">
        <f>IF(AND(ISNUMBER(P42),ISNUMBER(O42)),P42/O42*1000,"")</f>
        <v/>
      </c>
      <c r="AP42">
        <f>IF(AND(ISNUMBER(AD42),ISNUMBER(AE42)),LN(AD42/AE42),"")</f>
        <v/>
      </c>
      <c r="AQ42">
        <f>IF(ISNUMBER(AC42),1/AC42,"")</f>
        <v/>
      </c>
    </row>
    <row r="43">
      <c r="Q43">
        <f>IF(AND(ISNUMBER(P43),ISNUMBER(O43)),P43/O43*1000,"")</f>
        <v/>
      </c>
      <c r="AP43">
        <f>IF(AND(ISNUMBER(AD43),ISNUMBER(AE43)),LN(AD43/AE43),"")</f>
        <v/>
      </c>
      <c r="AQ43">
        <f>IF(ISNUMBER(AC43),1/AC43,"")</f>
        <v/>
      </c>
    </row>
    <row r="44">
      <c r="Q44">
        <f>IF(AND(ISNUMBER(P44),ISNUMBER(O44)),P44/O44*1000,"")</f>
        <v/>
      </c>
      <c r="AP44">
        <f>IF(AND(ISNUMBER(AD44),ISNUMBER(AE44)),LN(AD44/AE44),"")</f>
        <v/>
      </c>
      <c r="AQ44">
        <f>IF(ISNUMBER(AC44),1/AC44,"")</f>
        <v/>
      </c>
    </row>
    <row r="45">
      <c r="Q45">
        <f>IF(AND(ISNUMBER(P45),ISNUMBER(O45)),P45/O45*1000,"")</f>
        <v/>
      </c>
      <c r="AP45">
        <f>IF(AND(ISNUMBER(AD45),ISNUMBER(AE45)),LN(AD45/AE45),"")</f>
        <v/>
      </c>
      <c r="AQ45">
        <f>IF(ISNUMBER(AC45),1/AC45,"")</f>
        <v/>
      </c>
    </row>
    <row r="46">
      <c r="Q46">
        <f>IF(AND(ISNUMBER(P46),ISNUMBER(O46)),P46/O46*1000,"")</f>
        <v/>
      </c>
      <c r="AP46">
        <f>IF(AND(ISNUMBER(AD46),ISNUMBER(AE46)),LN(AD46/AE46),"")</f>
        <v/>
      </c>
      <c r="AQ46">
        <f>IF(ISNUMBER(AC46),1/AC46,"")</f>
        <v/>
      </c>
    </row>
    <row r="47">
      <c r="Q47">
        <f>IF(AND(ISNUMBER(P47),ISNUMBER(O47)),P47/O47*1000,"")</f>
        <v/>
      </c>
      <c r="AP47">
        <f>IF(AND(ISNUMBER(AD47),ISNUMBER(AE47)),LN(AD47/AE47),"")</f>
        <v/>
      </c>
      <c r="AQ47">
        <f>IF(ISNUMBER(AC47),1/AC47,"")</f>
        <v/>
      </c>
    </row>
    <row r="48">
      <c r="Q48">
        <f>IF(AND(ISNUMBER(P48),ISNUMBER(O48)),P48/O48*1000,"")</f>
        <v/>
      </c>
      <c r="AP48">
        <f>IF(AND(ISNUMBER(AD48),ISNUMBER(AE48)),LN(AD48/AE48),"")</f>
        <v/>
      </c>
      <c r="AQ48">
        <f>IF(ISNUMBER(AC48),1/AC48,"")</f>
        <v/>
      </c>
    </row>
    <row r="49">
      <c r="Q49">
        <f>IF(AND(ISNUMBER(P49),ISNUMBER(O49)),P49/O49*1000,"")</f>
        <v/>
      </c>
      <c r="AP49">
        <f>IF(AND(ISNUMBER(AD49),ISNUMBER(AE49)),LN(AD49/AE49),"")</f>
        <v/>
      </c>
      <c r="AQ49">
        <f>IF(ISNUMBER(AC49),1/AC49,"")</f>
        <v/>
      </c>
    </row>
    <row r="50">
      <c r="Q50">
        <f>IF(AND(ISNUMBER(P50),ISNUMBER(O50)),P50/O50*1000,"")</f>
        <v/>
      </c>
      <c r="AP50">
        <f>IF(AND(ISNUMBER(AD50),ISNUMBER(AE50)),LN(AD50/AE50),"")</f>
        <v/>
      </c>
      <c r="AQ50">
        <f>IF(ISNUMBER(AC50),1/AC50,"")</f>
        <v/>
      </c>
    </row>
    <row r="51">
      <c r="Q51">
        <f>IF(AND(ISNUMBER(P51),ISNUMBER(O51)),P51/O51*1000,"")</f>
        <v/>
      </c>
      <c r="AP51">
        <f>IF(AND(ISNUMBER(AD51),ISNUMBER(AE51)),LN(AD51/AE51),"")</f>
        <v/>
      </c>
      <c r="AQ51">
        <f>IF(ISNUMBER(AC51),1/AC51,"")</f>
        <v/>
      </c>
    </row>
    <row r="52">
      <c r="Q52">
        <f>IF(AND(ISNUMBER(P52),ISNUMBER(O52)),P52/O52*1000,"")</f>
        <v/>
      </c>
      <c r="AP52">
        <f>IF(AND(ISNUMBER(AD52),ISNUMBER(AE52)),LN(AD52/AE52),"")</f>
        <v/>
      </c>
      <c r="AQ52">
        <f>IF(ISNUMBER(AC52),1/AC52,"")</f>
        <v/>
      </c>
    </row>
    <row r="53">
      <c r="Q53">
        <f>IF(AND(ISNUMBER(P53),ISNUMBER(O53)),P53/O53*1000,"")</f>
        <v/>
      </c>
      <c r="AP53">
        <f>IF(AND(ISNUMBER(AD53),ISNUMBER(AE53)),LN(AD53/AE53),"")</f>
        <v/>
      </c>
      <c r="AQ53">
        <f>IF(ISNUMBER(AC53),1/AC53,"")</f>
        <v/>
      </c>
    </row>
    <row r="54">
      <c r="Q54">
        <f>IF(AND(ISNUMBER(P54),ISNUMBER(O54)),P54/O54*1000,"")</f>
        <v/>
      </c>
      <c r="AP54">
        <f>IF(AND(ISNUMBER(AD54),ISNUMBER(AE54)),LN(AD54/AE54),"")</f>
        <v/>
      </c>
      <c r="AQ54">
        <f>IF(ISNUMBER(AC54),1/AC54,"")</f>
        <v/>
      </c>
    </row>
    <row r="55">
      <c r="Q55">
        <f>IF(AND(ISNUMBER(P55),ISNUMBER(O55)),P55/O55*1000,"")</f>
        <v/>
      </c>
      <c r="AP55">
        <f>IF(AND(ISNUMBER(AD55),ISNUMBER(AE55)),LN(AD55/AE55),"")</f>
        <v/>
      </c>
      <c r="AQ55">
        <f>IF(ISNUMBER(AC55),1/AC55,"")</f>
        <v/>
      </c>
    </row>
    <row r="56">
      <c r="Q56">
        <f>IF(AND(ISNUMBER(P56),ISNUMBER(O56)),P56/O56*1000,"")</f>
        <v/>
      </c>
      <c r="AP56">
        <f>IF(AND(ISNUMBER(AD56),ISNUMBER(AE56)),LN(AD56/AE56),"")</f>
        <v/>
      </c>
      <c r="AQ56">
        <f>IF(ISNUMBER(AC56),1/AC56,"")</f>
        <v/>
      </c>
    </row>
    <row r="57">
      <c r="Q57">
        <f>IF(AND(ISNUMBER(P57),ISNUMBER(O57)),P57/O57*1000,"")</f>
        <v/>
      </c>
      <c r="AP57">
        <f>IF(AND(ISNUMBER(AD57),ISNUMBER(AE57)),LN(AD57/AE57),"")</f>
        <v/>
      </c>
      <c r="AQ57">
        <f>IF(ISNUMBER(AC57),1/AC57,"")</f>
        <v/>
      </c>
    </row>
    <row r="58">
      <c r="Q58">
        <f>IF(AND(ISNUMBER(P58),ISNUMBER(O58)),P58/O58*1000,"")</f>
        <v/>
      </c>
      <c r="AP58">
        <f>IF(AND(ISNUMBER(AD58),ISNUMBER(AE58)),LN(AD58/AE58),"")</f>
        <v/>
      </c>
      <c r="AQ58">
        <f>IF(ISNUMBER(AC58),1/AC58,"")</f>
        <v/>
      </c>
    </row>
    <row r="59">
      <c r="Q59">
        <f>IF(AND(ISNUMBER(P59),ISNUMBER(O59)),P59/O59*1000,"")</f>
        <v/>
      </c>
      <c r="AP59">
        <f>IF(AND(ISNUMBER(AD59),ISNUMBER(AE59)),LN(AD59/AE59),"")</f>
        <v/>
      </c>
      <c r="AQ59">
        <f>IF(ISNUMBER(AC59),1/AC59,"")</f>
        <v/>
      </c>
    </row>
    <row r="60">
      <c r="Q60">
        <f>IF(AND(ISNUMBER(P60),ISNUMBER(O60)),P60/O60*1000,"")</f>
        <v/>
      </c>
      <c r="AP60">
        <f>IF(AND(ISNUMBER(AD60),ISNUMBER(AE60)),LN(AD60/AE60),"")</f>
        <v/>
      </c>
      <c r="AQ60">
        <f>IF(ISNUMBER(AC60),1/AC60,"")</f>
        <v/>
      </c>
    </row>
    <row r="61">
      <c r="Q61">
        <f>IF(AND(ISNUMBER(P61),ISNUMBER(O61)),P61/O61*1000,"")</f>
        <v/>
      </c>
      <c r="AP61">
        <f>IF(AND(ISNUMBER(AD61),ISNUMBER(AE61)),LN(AD61/AE61),"")</f>
        <v/>
      </c>
      <c r="AQ61">
        <f>IF(ISNUMBER(AC61),1/AC61,"")</f>
        <v/>
      </c>
    </row>
    <row r="62">
      <c r="Q62">
        <f>IF(AND(ISNUMBER(P62),ISNUMBER(O62)),P62/O62*1000,"")</f>
        <v/>
      </c>
      <c r="AP62">
        <f>IF(AND(ISNUMBER(AD62),ISNUMBER(AE62)),LN(AD62/AE62),"")</f>
        <v/>
      </c>
      <c r="AQ62">
        <f>IF(ISNUMBER(AC62),1/AC62,"")</f>
        <v/>
      </c>
    </row>
    <row r="63">
      <c r="Q63">
        <f>IF(AND(ISNUMBER(P63),ISNUMBER(O63)),P63/O63*1000,"")</f>
        <v/>
      </c>
      <c r="AP63">
        <f>IF(AND(ISNUMBER(AD63),ISNUMBER(AE63)),LN(AD63/AE63),"")</f>
        <v/>
      </c>
      <c r="AQ63">
        <f>IF(ISNUMBER(AC63),1/AC63,"")</f>
        <v/>
      </c>
    </row>
    <row r="64">
      <c r="Q64">
        <f>IF(AND(ISNUMBER(P64),ISNUMBER(O64)),P64/O64*1000,"")</f>
        <v/>
      </c>
      <c r="AP64">
        <f>IF(AND(ISNUMBER(AD64),ISNUMBER(AE64)),LN(AD64/AE64),"")</f>
        <v/>
      </c>
      <c r="AQ64">
        <f>IF(ISNUMBER(AC64),1/AC64,"")</f>
        <v/>
      </c>
    </row>
  </sheetData>
  <dataValidations count="9">
    <dataValidation sqref="C3:C65" showDropDown="0" showInputMessage="0" showErrorMessage="0" allowBlank="1" type="list">
      <formula1>"Incluido,En evaluación,Excluido"</formula1>
    </dataValidation>
    <dataValidation sqref="R3:R65" showDropDown="0" showInputMessage="0" showErrorMessage="0" allowBlank="1" type="list">
      <formula1>"precipitación,temperatura,SPI,SPEI,VCI,PM2.5"</formula1>
    </dataValidation>
    <dataValidation sqref="S3:S65" showDropDown="0" showInputMessage="0" showErrorMessage="0" allowBlank="1" type="list">
      <formula1>"diaria,mensual,estacional,anual,decadal"</formula1>
    </dataValidation>
    <dataValidation sqref="AA3:AA65" showDropDown="0" showInputMessage="0" showErrorMessage="0" allowBlank="1" type="list">
      <formula1>"k-fold aleatoria,leave-one-out,bloques espaciales,estaciones independientes"</formula1>
    </dataValidation>
    <dataValidation sqref="AR3:AR65" showDropDown="0" showInputMessage="0" showErrorMessage="0" allowBlank="1" type="list">
      <formula1>"Bajo,Dudoso,Alto"</formula1>
    </dataValidation>
    <dataValidation sqref="K3:K65" showDropDown="0" showInputMessage="0" showErrorMessage="0" allowBlank="1" type="list">
      <formula1>"0,1"</formula1>
    </dataValidation>
    <dataValidation sqref="Y3:Y65" showDropDown="0" showInputMessage="0" showErrorMessage="0" allowBlank="1" type="list">
      <formula1>"0,1"</formula1>
    </dataValidation>
    <dataValidation sqref="Z3:Z65" showDropDown="0" showInputMessage="0" showErrorMessage="0" allowBlank="1" type="list">
      <formula1>"0,1"</formula1>
    </dataValidation>
    <dataValidation sqref="AS3:AS65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80" customWidth="1" min="4" max="4"/>
  </cols>
  <sheetData>
    <row r="1">
      <c r="A1" s="5" t="inlineStr">
        <is>
          <t>Campo</t>
        </is>
      </c>
      <c r="B1" s="5" t="inlineStr">
        <is>
          <t>Bloque</t>
        </is>
      </c>
      <c r="C1" s="5" t="inlineStr">
        <is>
          <t>Tipo</t>
        </is>
      </c>
      <c r="D1" s="5" t="inlineStr">
        <is>
          <t>Regla de codificación</t>
        </is>
      </c>
    </row>
    <row r="2">
      <c r="A2" t="inlineStr">
        <is>
          <t>id_estudio</t>
        </is>
      </c>
      <c r="B2" t="inlineStr">
        <is>
          <t>Identificación</t>
        </is>
      </c>
      <c r="C2" t="inlineStr">
        <is>
          <t>texto</t>
        </is>
      </c>
      <c r="D2" t="inlineStr">
        <is>
          <t>Primer autor y año en minúscula (dura2024)</t>
        </is>
      </c>
    </row>
    <row r="3">
      <c r="A3" t="inlineStr">
        <is>
          <t>id_comparacion</t>
        </is>
      </c>
      <c r="B3" t="inlineStr">
        <is>
          <t>Identificación</t>
        </is>
      </c>
      <c r="C3" t="inlineStr">
        <is>
          <t>texto</t>
        </is>
      </c>
      <c r="D3" t="inlineStr">
        <is>
          <t>id_estudio + sufijo por comparación (dura2024_a)</t>
        </is>
      </c>
    </row>
    <row r="4">
      <c r="A4" t="inlineStr">
        <is>
          <t>estado</t>
        </is>
      </c>
      <c r="B4" t="inlineStr">
        <is>
          <t>Identificación</t>
        </is>
      </c>
      <c r="C4" t="inlineStr">
        <is>
          <t>lista</t>
        </is>
      </c>
      <c r="D4" t="inlineStr">
        <is>
          <t>Incluido / En evaluación / Excluido</t>
        </is>
      </c>
    </row>
    <row r="5">
      <c r="A5" t="inlineStr">
        <is>
          <t>titulo</t>
        </is>
      </c>
      <c r="B5" t="inlineStr">
        <is>
          <t>Identificación</t>
        </is>
      </c>
      <c r="C5" t="inlineStr">
        <is>
          <t>texto</t>
        </is>
      </c>
      <c r="D5" t="inlineStr">
        <is>
          <t>Título original</t>
        </is>
      </c>
    </row>
    <row r="6">
      <c r="A6" t="inlineStr">
        <is>
          <t>anio</t>
        </is>
      </c>
      <c r="B6" t="inlineStr">
        <is>
          <t>Identificación</t>
        </is>
      </c>
      <c r="C6" t="inlineStr">
        <is>
          <t>número</t>
        </is>
      </c>
      <c r="D6" t="inlineStr">
        <is>
          <t>Año de publicación</t>
        </is>
      </c>
    </row>
    <row r="7">
      <c r="A7" t="inlineStr">
        <is>
          <t>referencia_doi</t>
        </is>
      </c>
      <c r="B7" t="inlineStr">
        <is>
          <t>Identificación</t>
        </is>
      </c>
      <c r="C7" t="inlineStr">
        <is>
          <t>texto</t>
        </is>
      </c>
      <c r="D7" t="inlineStr">
        <is>
          <t>DOI completo o enlace Scopus</t>
        </is>
      </c>
    </row>
    <row r="8">
      <c r="A8" t="inlineStr">
        <is>
          <t>extractor</t>
        </is>
      </c>
      <c r="B8" t="inlineStr">
        <is>
          <t>Identificación</t>
        </is>
      </c>
      <c r="C8" t="inlineStr">
        <is>
          <t>texto</t>
        </is>
      </c>
      <c r="D8" t="inlineStr">
        <is>
          <t>Iniciales del revisor</t>
        </is>
      </c>
    </row>
    <row r="9">
      <c r="A9" t="inlineStr">
        <is>
          <t>fecha_extraccion</t>
        </is>
      </c>
      <c r="B9" t="inlineStr">
        <is>
          <t>Identificación</t>
        </is>
      </c>
      <c r="C9" t="inlineStr">
        <is>
          <t>fecha</t>
        </is>
      </c>
      <c r="D9" t="inlineStr">
        <is>
          <t>dd/mm/aaaa</t>
        </is>
      </c>
    </row>
    <row r="10">
      <c r="A10" t="inlineStr">
        <is>
          <t>pais</t>
        </is>
      </c>
      <c r="B10" t="inlineStr">
        <is>
          <t>Contexto</t>
        </is>
      </c>
      <c r="C10" t="inlineStr">
        <is>
          <t>texto</t>
        </is>
      </c>
      <c r="D10" t="inlineStr">
        <is>
          <t>País</t>
        </is>
      </c>
    </row>
    <row r="11">
      <c r="A11" t="inlineStr">
        <is>
          <t>area</t>
        </is>
      </c>
      <c r="B11" t="inlineStr">
        <is>
          <t>Contexto</t>
        </is>
      </c>
      <c r="C11" t="inlineStr">
        <is>
          <t>texto</t>
        </is>
      </c>
      <c r="D11" t="inlineStr">
        <is>
          <t>Cuenca, ciudad o cordillera</t>
        </is>
      </c>
    </row>
    <row r="12">
      <c r="A12" t="inlineStr">
        <is>
          <t>estrato_andino</t>
        </is>
      </c>
      <c r="B12" t="inlineStr">
        <is>
          <t>Contexto</t>
        </is>
      </c>
      <c r="C12" t="inlineStr">
        <is>
          <t>0/1</t>
        </is>
      </c>
      <c r="D12" t="inlineStr">
        <is>
          <t>1 si está en los Andes tropicales o el Altiplano</t>
        </is>
      </c>
    </row>
    <row r="13">
      <c r="A13" t="inlineStr">
        <is>
          <t>altitud_min</t>
        </is>
      </c>
      <c r="B13" t="inlineStr">
        <is>
          <t>Contexto</t>
        </is>
      </c>
      <c r="C13" t="inlineStr">
        <is>
          <t>número (m)</t>
        </is>
      </c>
      <c r="D13" t="inlineStr">
        <is>
          <t>Del texto o figura; si falta, estimar del MDE y anotar 'imputado'</t>
        </is>
      </c>
    </row>
    <row r="14">
      <c r="A14" t="inlineStr">
        <is>
          <t>altitud_max</t>
        </is>
      </c>
      <c r="B14" t="inlineStr">
        <is>
          <t>Contexto</t>
        </is>
      </c>
      <c r="C14" t="inlineStr">
        <is>
          <t>número (m)</t>
        </is>
      </c>
    </row>
    <row r="15">
      <c r="A15" t="inlineStr">
        <is>
          <t>altitud_media</t>
        </is>
      </c>
      <c r="B15" t="inlineStr">
        <is>
          <t>Contexto</t>
        </is>
      </c>
      <c r="C15" t="inlineStr">
        <is>
          <t>número (m)</t>
        </is>
      </c>
    </row>
    <row r="16">
      <c r="A16" t="inlineStr">
        <is>
          <t>area_km2</t>
        </is>
      </c>
      <c r="B16" t="inlineStr">
        <is>
          <t>Red</t>
        </is>
      </c>
      <c r="C16" t="inlineStr">
        <is>
          <t>número</t>
        </is>
      </c>
      <c r="D16" t="inlineStr">
        <is>
          <t>Superficie del dominio</t>
        </is>
      </c>
    </row>
    <row r="17">
      <c r="A17" t="inlineStr">
        <is>
          <t>n_estaciones</t>
        </is>
      </c>
      <c r="B17" t="inlineStr">
        <is>
          <t>Red</t>
        </is>
      </c>
      <c r="C17" t="inlineStr">
        <is>
          <t>número</t>
        </is>
      </c>
      <c r="D17" t="inlineStr">
        <is>
          <t>Estaciones usadas en ajuste y validación</t>
        </is>
      </c>
    </row>
    <row r="18">
      <c r="A18" t="inlineStr">
        <is>
          <t>densidad</t>
        </is>
      </c>
      <c r="B18" t="inlineStr">
        <is>
          <t>Red</t>
        </is>
      </c>
      <c r="C18" t="inlineStr">
        <is>
          <t>fórmula</t>
        </is>
      </c>
      <c r="D18" t="inlineStr">
        <is>
          <t>n_estaciones ÷ area_km2 × 1000 (se calcula sola)</t>
        </is>
      </c>
    </row>
    <row r="19">
      <c r="A19" t="inlineStr">
        <is>
          <t>variable</t>
        </is>
      </c>
      <c r="B19" t="inlineStr">
        <is>
          <t>Datos</t>
        </is>
      </c>
      <c r="C19" t="inlineStr">
        <is>
          <t>lista</t>
        </is>
      </c>
      <c r="D19" t="inlineStr">
        <is>
          <t>precipitación, temperatura, SPI, SPEI, VCI, PM2.5</t>
        </is>
      </c>
    </row>
    <row r="20">
      <c r="A20" t="inlineStr">
        <is>
          <t>escala_temporal</t>
        </is>
      </c>
      <c r="B20" t="inlineStr">
        <is>
          <t>Datos</t>
        </is>
      </c>
      <c r="C20" t="inlineStr">
        <is>
          <t>lista</t>
        </is>
      </c>
      <c r="D20" t="inlineStr">
        <is>
          <t>diaria, mensual, estacional, anual, decadal</t>
        </is>
      </c>
    </row>
    <row r="21">
      <c r="A21" t="inlineStr">
        <is>
          <t>periodo</t>
        </is>
      </c>
      <c r="B21" t="inlineStr">
        <is>
          <t>Datos</t>
        </is>
      </c>
      <c r="C21" t="inlineStr">
        <is>
          <t>texto</t>
        </is>
      </c>
      <c r="D21" t="inlineStr">
        <is>
          <t>Años de la serie (1982–2018)</t>
        </is>
      </c>
    </row>
    <row r="22">
      <c r="A22" t="inlineStr">
        <is>
          <t>covariables</t>
        </is>
      </c>
      <c r="B22" t="inlineStr">
        <is>
          <t>Datos</t>
        </is>
      </c>
      <c r="C22" t="inlineStr">
        <is>
          <t>texto</t>
        </is>
      </c>
      <c r="D22" t="inlineStr">
        <is>
          <t>elevación, pendiente, distancia al mar, NDVI, LST…</t>
        </is>
      </c>
    </row>
    <row r="23">
      <c r="A23" t="inlineStr">
        <is>
          <t>producto_satelital</t>
        </is>
      </c>
      <c r="B23" t="inlineStr">
        <is>
          <t>Datos</t>
        </is>
      </c>
      <c r="C23" t="inlineStr">
        <is>
          <t>texto</t>
        </is>
      </c>
      <c r="D23" t="inlineStr">
        <is>
          <t>CHIRPS, IMERG, ERA5, MODIS o ninguno</t>
        </is>
      </c>
    </row>
    <row r="24">
      <c r="A24" t="inlineStr">
        <is>
          <t>metodo_geo</t>
        </is>
      </c>
      <c r="B24" t="inlineStr">
        <is>
          <t>Métodos</t>
        </is>
      </c>
      <c r="C24" t="inlineStr">
        <is>
          <t>lista</t>
        </is>
      </c>
      <c r="D24" t="inlineStr">
        <is>
          <t>KO, KU, KED, RK, CoK, GWR, bayesiano espacial</t>
        </is>
      </c>
    </row>
    <row r="25">
      <c r="A25" t="inlineStr">
        <is>
          <t>metodo_aa</t>
        </is>
      </c>
      <c r="B25" t="inlineStr">
        <is>
          <t>Métodos</t>
        </is>
      </c>
      <c r="C25" t="inlineStr">
        <is>
          <t>lista</t>
        </is>
      </c>
      <c r="D25" t="inlineStr">
        <is>
          <t>RF, XGBoost, SVM, RNA, otro</t>
        </is>
      </c>
    </row>
    <row r="26">
      <c r="A26" t="inlineStr">
        <is>
          <t>hibrido</t>
        </is>
      </c>
      <c r="B26" t="inlineStr">
        <is>
          <t>Métodos</t>
        </is>
      </c>
      <c r="C26" t="inlineStr">
        <is>
          <t>0/1</t>
        </is>
      </c>
      <c r="D26" t="inlineStr">
        <is>
          <t>1 si el brazo combina AA con kriging de residuos</t>
        </is>
      </c>
    </row>
    <row r="27">
      <c r="A27" t="inlineStr">
        <is>
          <t>covariables_equivalentes</t>
        </is>
      </c>
      <c r="B27" t="inlineStr">
        <is>
          <t>Métodos</t>
        </is>
      </c>
      <c r="C27" t="inlineStr">
        <is>
          <t>0/1</t>
        </is>
      </c>
      <c r="D27" t="inlineStr">
        <is>
          <t>1 si ambos brazos usan las mismas covariables</t>
        </is>
      </c>
    </row>
    <row r="28">
      <c r="A28" t="inlineStr">
        <is>
          <t>esquema_validacion</t>
        </is>
      </c>
      <c r="B28" t="inlineStr">
        <is>
          <t>Validación</t>
        </is>
      </c>
      <c r="C28" t="inlineStr">
        <is>
          <t>lista</t>
        </is>
      </c>
      <c r="D28" t="inlineStr">
        <is>
          <t>k-fold aleatoria, leave-one-out, bloques espaciales, estaciones independientes</t>
        </is>
      </c>
    </row>
    <row r="29">
      <c r="A29" t="inlineStr">
        <is>
          <t>k_o_n_bloques</t>
        </is>
      </c>
      <c r="B29" t="inlineStr">
        <is>
          <t>Validación</t>
        </is>
      </c>
      <c r="C29" t="inlineStr">
        <is>
          <t>número</t>
        </is>
      </c>
      <c r="D29" t="inlineStr">
        <is>
          <t>Número de particiones</t>
        </is>
      </c>
    </row>
    <row r="30">
      <c r="A30" t="inlineStr">
        <is>
          <t>n_validacion</t>
        </is>
      </c>
      <c r="B30" t="inlineStr">
        <is>
          <t>Validación</t>
        </is>
      </c>
      <c r="C30" t="inlineStr">
        <is>
          <t>número</t>
        </is>
      </c>
      <c r="D30" t="inlineStr">
        <is>
          <t>Observaciones o estaciones de evaluación</t>
        </is>
      </c>
    </row>
    <row r="31">
      <c r="A31" t="inlineStr">
        <is>
          <t>rmse_geo</t>
        </is>
      </c>
      <c r="B31" t="inlineStr">
        <is>
          <t>Resultados</t>
        </is>
      </c>
      <c r="C31" t="inlineStr">
        <is>
          <t>número</t>
        </is>
      </c>
      <c r="D31" t="inlineStr">
        <is>
          <t>Unidades originales</t>
        </is>
      </c>
    </row>
    <row r="32">
      <c r="A32" t="inlineStr">
        <is>
          <t>rmse_aa</t>
        </is>
      </c>
      <c r="B32" t="inlineStr">
        <is>
          <t>Resultados</t>
        </is>
      </c>
      <c r="C32" t="inlineStr">
        <is>
          <t>número</t>
        </is>
      </c>
      <c r="D32" t="inlineStr">
        <is>
          <t>Unidades originales</t>
        </is>
      </c>
    </row>
    <row r="33">
      <c r="A33" t="inlineStr">
        <is>
          <t>unidad</t>
        </is>
      </c>
      <c r="B33" t="inlineStr">
        <is>
          <t>Resultados</t>
        </is>
      </c>
      <c r="C33" t="inlineStr">
        <is>
          <t>texto</t>
        </is>
      </c>
      <c r="D33" t="inlineStr">
        <is>
          <t>mm/día, °C, μg/m³…</t>
        </is>
      </c>
    </row>
    <row r="34">
      <c r="A34" t="inlineStr">
        <is>
          <t>mae_geo</t>
        </is>
      </c>
      <c r="B34" t="inlineStr">
        <is>
          <t>Resultados</t>
        </is>
      </c>
      <c r="C34" t="inlineStr">
        <is>
          <t>número</t>
        </is>
      </c>
    </row>
    <row r="35">
      <c r="A35" t="inlineStr">
        <is>
          <t>mae_aa</t>
        </is>
      </c>
      <c r="B35" t="inlineStr">
        <is>
          <t>Resultados</t>
        </is>
      </c>
      <c r="C35" t="inlineStr">
        <is>
          <t>número</t>
        </is>
      </c>
    </row>
    <row r="36">
      <c r="A36" t="inlineStr">
        <is>
          <t>r2_geo</t>
        </is>
      </c>
      <c r="B36" t="inlineStr">
        <is>
          <t>Resultados</t>
        </is>
      </c>
      <c r="C36" t="inlineStr">
        <is>
          <t>número</t>
        </is>
      </c>
    </row>
    <row r="37">
      <c r="A37" t="inlineStr">
        <is>
          <t>r2_aa</t>
        </is>
      </c>
      <c r="B37" t="inlineStr">
        <is>
          <t>Resultados</t>
        </is>
      </c>
      <c r="C37" t="inlineStr">
        <is>
          <t>número</t>
        </is>
      </c>
    </row>
    <row r="38">
      <c r="A38" t="inlineStr">
        <is>
          <t>kge_geo</t>
        </is>
      </c>
      <c r="B38" t="inlineStr">
        <is>
          <t>Resultados</t>
        </is>
      </c>
      <c r="C38" t="inlineStr">
        <is>
          <t>número</t>
        </is>
      </c>
    </row>
    <row r="39">
      <c r="A39" t="inlineStr">
        <is>
          <t>kge_aa</t>
        </is>
      </c>
      <c r="B39" t="inlineStr">
        <is>
          <t>Resultados</t>
        </is>
      </c>
      <c r="C39" t="inlineStr">
        <is>
          <t>número</t>
        </is>
      </c>
    </row>
    <row r="40">
      <c r="A40" t="inlineStr">
        <is>
          <t>sesgo_pct_geo</t>
        </is>
      </c>
      <c r="B40" t="inlineStr">
        <is>
          <t>Resultados</t>
        </is>
      </c>
      <c r="C40" t="inlineStr">
        <is>
          <t>%</t>
        </is>
      </c>
    </row>
    <row r="41">
      <c r="A41" t="inlineStr">
        <is>
          <t>sesgo_pct_aa</t>
        </is>
      </c>
      <c r="B41" t="inlineStr">
        <is>
          <t>Resultados</t>
        </is>
      </c>
      <c r="C41" t="inlineStr">
        <is>
          <t>%</t>
        </is>
      </c>
    </row>
    <row r="42">
      <c r="A42" t="inlineStr">
        <is>
          <t>cobertura_ic</t>
        </is>
      </c>
      <c r="B42" t="inlineStr">
        <is>
          <t>Resultados</t>
        </is>
      </c>
      <c r="C42" t="inlineStr">
        <is>
          <t>%</t>
        </is>
      </c>
      <c r="D42" t="inlineStr">
        <is>
          <t>Cobertura empírica de los intervalos de predicción</t>
        </is>
      </c>
    </row>
    <row r="43">
      <c r="A43" t="inlineStr">
        <is>
          <t>ln_ratio</t>
        </is>
      </c>
      <c r="B43" t="inlineStr">
        <is>
          <t>Efecto</t>
        </is>
      </c>
      <c r="C43" t="inlineStr">
        <is>
          <t>fórmula</t>
        </is>
      </c>
      <c r="D43" t="inlineStr">
        <is>
          <t>ln(rmse_geo / rmse_aa); negativo favorece a la geoestadística (se calcula sola)</t>
        </is>
      </c>
    </row>
    <row r="44">
      <c r="A44" t="inlineStr">
        <is>
          <t>var_ln_ratio</t>
        </is>
      </c>
      <c r="B44" t="inlineStr">
        <is>
          <t>Efecto</t>
        </is>
      </c>
      <c r="C44" t="inlineStr">
        <is>
          <t>fórmula</t>
        </is>
      </c>
      <c r="D44" t="inlineStr">
        <is>
          <t>Aproximación 1/n_validacion si no hay otra (se calcula sola; reemplazar si se estima por delta o bootstrap)</t>
        </is>
      </c>
    </row>
    <row r="45">
      <c r="A45" t="inlineStr">
        <is>
          <t>riesgo_fuga</t>
        </is>
      </c>
      <c r="B45" t="inlineStr">
        <is>
          <t>Calidad</t>
        </is>
      </c>
      <c r="C45" t="inlineStr">
        <is>
          <t>lista</t>
        </is>
      </c>
      <c r="D45" t="inlineStr">
        <is>
          <t>Bajo / Dudoso / Alto</t>
        </is>
      </c>
    </row>
    <row r="46">
      <c r="A46" t="inlineStr">
        <is>
          <t>reporte_incompleto</t>
        </is>
      </c>
      <c r="B46" t="inlineStr">
        <is>
          <t>Calidad</t>
        </is>
      </c>
      <c r="C46" t="inlineStr">
        <is>
          <t>0/1</t>
        </is>
      </c>
      <c r="D46" t="inlineStr">
        <is>
          <t>1 si hubo que pedir o estimar métricas</t>
        </is>
      </c>
    </row>
    <row r="47">
      <c r="A47" t="inlineStr">
        <is>
          <t>observaciones</t>
        </is>
      </c>
      <c r="B47" t="inlineStr">
        <is>
          <t>Control</t>
        </is>
      </c>
      <c r="C47" t="inlineStr">
        <is>
          <t>texto</t>
        </is>
      </c>
      <c r="D47" t="inlineStr">
        <is>
          <t>Notas del revisor</t>
        </is>
      </c>
    </row>
    <row r="49">
      <c r="A49" t="inlineStr">
        <is>
          <t>Nota</t>
        </is>
      </c>
      <c r="D49" t="inlineStr">
        <is>
          <t>Valores precargados tomados de los resúmenes o de la ficha del grupo; deben verificarse con el texto completo. Las celdas verdes son estudios incluidos.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2026-10-13T18:23:57Z</dcterms:created>
  <dcterms:modified xsi:type="dcterms:W3CDTF">2026-10-13T20:46:10Z</dcterms:modified>
</cp:coreProperties>
</file>